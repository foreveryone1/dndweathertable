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chool PC\Documents\dnd char sheets\Leverhulm\"/>
    </mc:Choice>
  </mc:AlternateContent>
  <xr:revisionPtr revIDLastSave="0" documentId="13_ncr:1_{D07D10FD-D81A-4388-B8ED-F609468DAD79}" xr6:coauthVersionLast="46" xr6:coauthVersionMax="46" xr10:uidLastSave="{00000000-0000-0000-0000-000000000000}"/>
  <bookViews>
    <workbookView xWindow="-108" yWindow="-108" windowWidth="23256" windowHeight="12720" tabRatio="621" xr2:uid="{77B75814-2E0D-4914-9148-21024971AF8E}"/>
  </bookViews>
  <sheets>
    <sheet name="General sheet" sheetId="1" r:id="rId1"/>
    <sheet name="Encounter chances" sheetId="8" r:id="rId2"/>
    <sheet name="Player Facing Projection" sheetId="13" state="hidden" r:id="rId3"/>
    <sheet name="Party Roles" sheetId="11" r:id="rId4"/>
    <sheet name="Workflow" sheetId="12" r:id="rId5"/>
    <sheet name="Temp" sheetId="2" r:id="rId6"/>
    <sheet name="Precip" sheetId="3" r:id="rId7"/>
    <sheet name="Wind" sheetId="4" r:id="rId8"/>
    <sheet name="Days" sheetId="7" r:id="rId9"/>
    <sheet name="BackEnd" sheetId="15" r:id="rId10"/>
  </sheets>
  <definedNames>
    <definedName name="precipNames">precipTable[#Headers]</definedName>
    <definedName name="tempNames">TemperatureTable[#Headers]</definedName>
    <definedName name="windNames">windTable[#Headers]</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 l="1"/>
  <c r="B7" i="1" s="1"/>
  <c r="B9" i="1" s="1"/>
  <c r="B11" i="1" s="1"/>
  <c r="B13" i="1" s="1"/>
  <c r="B15" i="1" s="1"/>
  <c r="B17" i="1" s="1"/>
  <c r="B19" i="1" s="1"/>
  <c r="B21" i="1" s="1"/>
  <c r="B23" i="1" s="1"/>
  <c r="B25" i="1" s="1"/>
  <c r="B27" i="1" s="1"/>
  <c r="B29" i="1" s="1"/>
  <c r="B31" i="1" s="1"/>
  <c r="B33" i="1" s="1"/>
  <c r="B35" i="1" s="1"/>
  <c r="B37" i="1" s="1"/>
  <c r="B39" i="1" s="1"/>
  <c r="B41" i="1" s="1"/>
  <c r="B43" i="1" s="1"/>
  <c r="B45" i="1" s="1"/>
  <c r="B47" i="1" s="1"/>
  <c r="B49" i="1" s="1"/>
  <c r="B51" i="1" s="1"/>
  <c r="B53" i="1" s="1"/>
  <c r="B55" i="1" s="1"/>
  <c r="B57" i="1" s="1"/>
  <c r="B1" i="7"/>
  <c r="A4" i="2"/>
  <c r="A5" i="4"/>
  <c r="A6" i="4"/>
  <c r="A7" i="4"/>
  <c r="A8" i="4"/>
  <c r="A9" i="4"/>
  <c r="A10" i="4"/>
  <c r="A11" i="4"/>
  <c r="A4" i="4"/>
  <c r="A5" i="3"/>
  <c r="A6" i="3"/>
  <c r="A7" i="3"/>
  <c r="A8" i="3"/>
  <c r="A9" i="3"/>
  <c r="A10" i="3"/>
  <c r="A11" i="3"/>
  <c r="A4" i="3"/>
  <c r="A5" i="2"/>
  <c r="A6" i="2"/>
  <c r="A7" i="2"/>
  <c r="A8" i="2"/>
  <c r="A9" i="2"/>
  <c r="A10" i="2"/>
  <c r="A11" i="2"/>
  <c r="K17" i="1"/>
  <c r="E2" i="15" l="1"/>
  <c r="F2" i="15" s="1"/>
  <c r="G2" i="15" s="1"/>
  <c r="F4" i="1" s="1"/>
  <c r="I2" i="15"/>
  <c r="A2" i="4" l="1"/>
  <c r="J2" i="15"/>
  <c r="K12" i="4"/>
  <c r="K10" i="4"/>
  <c r="K15" i="4"/>
  <c r="J15" i="4"/>
  <c r="J14" i="4"/>
  <c r="J13" i="4"/>
  <c r="L14" i="4"/>
  <c r="L15" i="4"/>
  <c r="K14" i="4"/>
  <c r="K13" i="4"/>
  <c r="L12" i="4"/>
  <c r="J10" i="4"/>
  <c r="L7" i="4"/>
  <c r="I15" i="4"/>
  <c r="I14" i="4"/>
  <c r="I13" i="4"/>
  <c r="L10" i="4"/>
  <c r="L11" i="4"/>
  <c r="L13" i="4"/>
  <c r="L9" i="4"/>
  <c r="K8" i="4"/>
  <c r="E8" i="4"/>
  <c r="H6" i="4"/>
  <c r="H4" i="4"/>
  <c r="E10" i="4"/>
  <c r="E6" i="4"/>
  <c r="H5" i="4"/>
  <c r="E12" i="4"/>
  <c r="E7" i="4"/>
  <c r="G9" i="4"/>
  <c r="F11" i="4"/>
  <c r="E9" i="4"/>
  <c r="K6" i="4"/>
  <c r="J9" i="4"/>
  <c r="J8" i="4"/>
  <c r="I10" i="4"/>
  <c r="I9" i="4"/>
  <c r="H12" i="4"/>
  <c r="H10" i="4"/>
  <c r="K4" i="4"/>
  <c r="K5" i="4"/>
  <c r="G15" i="4"/>
  <c r="G14" i="4"/>
  <c r="G13" i="4"/>
  <c r="J6" i="4"/>
  <c r="J5" i="4"/>
  <c r="J4" i="4"/>
  <c r="H11" i="4"/>
  <c r="H8" i="4"/>
  <c r="I8" i="4"/>
  <c r="I7" i="4"/>
  <c r="G11" i="4"/>
  <c r="G10" i="4"/>
  <c r="F15" i="4"/>
  <c r="F14" i="4"/>
  <c r="F13" i="4"/>
  <c r="E4" i="4"/>
  <c r="G6" i="4"/>
  <c r="G5" i="4"/>
  <c r="G4" i="4"/>
  <c r="F9" i="4"/>
  <c r="F7" i="4"/>
  <c r="F6" i="4"/>
  <c r="F5" i="4"/>
  <c r="F4" i="4"/>
  <c r="E5" i="4"/>
  <c r="L8" i="4"/>
  <c r="K7" i="4"/>
  <c r="J12" i="4"/>
  <c r="J11" i="4"/>
  <c r="J7" i="4"/>
  <c r="H15" i="4"/>
  <c r="H13" i="4"/>
  <c r="I12" i="4"/>
  <c r="I11" i="4"/>
  <c r="H14" i="4"/>
  <c r="L5" i="4"/>
  <c r="K11" i="4"/>
  <c r="L6" i="4"/>
  <c r="L4" i="4"/>
  <c r="K9" i="4"/>
  <c r="E15" i="4"/>
  <c r="E11" i="4"/>
  <c r="E13" i="4"/>
  <c r="I6" i="4"/>
  <c r="I5" i="4"/>
  <c r="I4" i="4"/>
  <c r="H7" i="4"/>
  <c r="H9" i="4"/>
  <c r="G12" i="4"/>
  <c r="G8" i="4"/>
  <c r="G7" i="4"/>
  <c r="F12" i="4"/>
  <c r="F10" i="4"/>
  <c r="F8" i="4"/>
  <c r="E14" i="4"/>
  <c r="V5" i="13"/>
  <c r="V6" i="13"/>
  <c r="V7" i="13"/>
  <c r="V8" i="13"/>
  <c r="V9" i="13"/>
  <c r="V10" i="13"/>
  <c r="V11" i="13"/>
  <c r="V12" i="13"/>
  <c r="V13" i="13"/>
  <c r="V14" i="13"/>
  <c r="V15" i="13"/>
  <c r="V4" i="13"/>
  <c r="F4" i="8"/>
  <c r="F5" i="8"/>
  <c r="F6" i="8"/>
  <c r="F7" i="8"/>
  <c r="F8" i="8"/>
  <c r="F9" i="8"/>
  <c r="F10" i="8"/>
  <c r="F11" i="8"/>
  <c r="F12" i="8"/>
  <c r="F13" i="8"/>
  <c r="F14" i="8"/>
  <c r="F15" i="8"/>
  <c r="K2" i="15" l="1"/>
  <c r="G4" i="1" s="1"/>
  <c r="U15" i="13"/>
  <c r="U5" i="13"/>
  <c r="U6" i="13"/>
  <c r="U7" i="13"/>
  <c r="U8" i="13"/>
  <c r="U9" i="13"/>
  <c r="U10" i="13"/>
  <c r="U11" i="13"/>
  <c r="U12" i="13"/>
  <c r="U13" i="13"/>
  <c r="U14" i="13"/>
  <c r="U4" i="13"/>
  <c r="L15" i="3" l="1"/>
  <c r="L14" i="3"/>
  <c r="J15" i="3"/>
  <c r="J14" i="3"/>
  <c r="J13" i="3"/>
  <c r="K15" i="3"/>
  <c r="K14" i="3"/>
  <c r="K13" i="3"/>
  <c r="K12" i="3"/>
  <c r="K10" i="3"/>
  <c r="A2" i="3"/>
  <c r="L8" i="3"/>
  <c r="L6" i="3"/>
  <c r="L5" i="3"/>
  <c r="L4" i="3"/>
  <c r="J12" i="3"/>
  <c r="J11" i="3"/>
  <c r="J7" i="3"/>
  <c r="K11" i="3"/>
  <c r="K9" i="3"/>
  <c r="K7" i="3"/>
  <c r="I12" i="3"/>
  <c r="I11" i="3"/>
  <c r="H15" i="3"/>
  <c r="H14" i="3"/>
  <c r="H13" i="3"/>
  <c r="L13" i="3"/>
  <c r="L12" i="3"/>
  <c r="L11" i="3"/>
  <c r="L10" i="3"/>
  <c r="L9" i="3"/>
  <c r="L7" i="3"/>
  <c r="J10" i="3"/>
  <c r="K8" i="3"/>
  <c r="I15" i="3"/>
  <c r="I14" i="3"/>
  <c r="I13" i="3"/>
  <c r="J9" i="3"/>
  <c r="J8" i="3"/>
  <c r="K6" i="3"/>
  <c r="K5" i="3"/>
  <c r="K4" i="3"/>
  <c r="I10" i="3"/>
  <c r="I9" i="3"/>
  <c r="H12" i="3"/>
  <c r="H10" i="3"/>
  <c r="G15" i="3"/>
  <c r="G14" i="3"/>
  <c r="G13" i="3"/>
  <c r="J6" i="3"/>
  <c r="J5" i="3"/>
  <c r="J4" i="3"/>
  <c r="I8" i="3"/>
  <c r="I7" i="3"/>
  <c r="H11" i="3"/>
  <c r="H8" i="3"/>
  <c r="G11" i="3"/>
  <c r="G10" i="3"/>
  <c r="F15" i="3"/>
  <c r="F14" i="3"/>
  <c r="F13" i="3"/>
  <c r="I6" i="3"/>
  <c r="I5" i="3"/>
  <c r="I4" i="3"/>
  <c r="H9" i="3"/>
  <c r="H7" i="3"/>
  <c r="E15" i="3"/>
  <c r="E14" i="3"/>
  <c r="E13" i="3"/>
  <c r="E11" i="3"/>
  <c r="G12" i="3"/>
  <c r="G8" i="3"/>
  <c r="G7" i="3"/>
  <c r="F12" i="3"/>
  <c r="F10" i="3"/>
  <c r="F8" i="3"/>
  <c r="E5" i="3"/>
  <c r="E4" i="3"/>
  <c r="G6" i="3"/>
  <c r="G5" i="3"/>
  <c r="G4" i="3"/>
  <c r="F9" i="3"/>
  <c r="F7" i="3"/>
  <c r="F6" i="3"/>
  <c r="F5" i="3"/>
  <c r="F4" i="3"/>
  <c r="E12" i="3"/>
  <c r="E8" i="3"/>
  <c r="H6" i="3"/>
  <c r="H5" i="3"/>
  <c r="H4" i="3"/>
  <c r="E10" i="3"/>
  <c r="E7" i="3"/>
  <c r="G9" i="3"/>
  <c r="F11" i="3"/>
  <c r="E9" i="3"/>
  <c r="E6" i="3"/>
  <c r="E3" i="15" l="1"/>
  <c r="F3" i="15" s="1"/>
  <c r="K5" i="1"/>
  <c r="K6" i="1"/>
  <c r="K7" i="1"/>
  <c r="K8" i="1"/>
  <c r="K9" i="1"/>
  <c r="K10" i="1"/>
  <c r="K11" i="1"/>
  <c r="M6" i="1"/>
  <c r="M7" i="1"/>
  <c r="M8" i="1"/>
  <c r="M9" i="1"/>
  <c r="M10" i="1"/>
  <c r="M11" i="1"/>
  <c r="M5" i="1"/>
  <c r="G3" i="15" l="1"/>
  <c r="I3" i="15"/>
  <c r="L3" i="4"/>
  <c r="K3" i="4"/>
  <c r="J3" i="4"/>
  <c r="I3" i="4"/>
  <c r="H3" i="4"/>
  <c r="G3" i="4"/>
  <c r="F3" i="4"/>
  <c r="E3" i="4"/>
  <c r="L3" i="3"/>
  <c r="K3" i="3"/>
  <c r="J3" i="3"/>
  <c r="I3" i="3"/>
  <c r="H3" i="3"/>
  <c r="F3" i="3"/>
  <c r="G3" i="3"/>
  <c r="E3" i="3"/>
  <c r="F5" i="1" l="1"/>
  <c r="E4" i="15" s="1"/>
  <c r="F4" i="15" s="1"/>
  <c r="G4" i="15" l="1"/>
  <c r="J3" i="15"/>
  <c r="F6" i="1" l="1"/>
  <c r="E5" i="15" s="1"/>
  <c r="F5" i="15" s="1"/>
  <c r="G5" i="15" s="1"/>
  <c r="K3" i="15"/>
  <c r="G5" i="1" s="1"/>
  <c r="I4" i="15" s="1"/>
  <c r="J4" i="15" s="1"/>
  <c r="F7" i="1" l="1"/>
  <c r="E6" i="15" s="1"/>
  <c r="F6" i="15" s="1"/>
  <c r="G6" i="15" s="1"/>
  <c r="K4" i="15"/>
  <c r="G6" i="1" s="1"/>
  <c r="I5" i="15" s="1"/>
  <c r="J5" i="15" s="1"/>
  <c r="F8" i="1" l="1"/>
  <c r="E7" i="15" s="1"/>
  <c r="F7" i="15" s="1"/>
  <c r="G7" i="15" s="1"/>
  <c r="K5" i="15"/>
  <c r="G7" i="1" s="1"/>
  <c r="I6" i="15" s="1"/>
  <c r="J6" i="15" s="1"/>
  <c r="F9" i="1" l="1"/>
  <c r="E8" i="15" s="1"/>
  <c r="F8" i="15" s="1"/>
  <c r="G8" i="15" s="1"/>
  <c r="K6" i="15"/>
  <c r="G8" i="1" s="1"/>
  <c r="I7" i="15" s="1"/>
  <c r="J7" i="15" s="1"/>
  <c r="F10" i="1" l="1"/>
  <c r="E9" i="15" s="1"/>
  <c r="F9" i="15" s="1"/>
  <c r="G9" i="15" s="1"/>
  <c r="K7" i="15"/>
  <c r="G9" i="1" s="1"/>
  <c r="I8" i="15" s="1"/>
  <c r="J8" i="15" s="1"/>
  <c r="F11" i="1" l="1"/>
  <c r="E10" i="15" s="1"/>
  <c r="F10" i="15" s="1"/>
  <c r="G10" i="15" s="1"/>
  <c r="K8" i="15"/>
  <c r="G10" i="1" s="1"/>
  <c r="I9" i="15" s="1"/>
  <c r="J9" i="15" s="1"/>
  <c r="F12" i="1" l="1"/>
  <c r="E11" i="15" s="1"/>
  <c r="F11" i="15" s="1"/>
  <c r="G11" i="15" s="1"/>
  <c r="K9" i="15"/>
  <c r="G11" i="1" s="1"/>
  <c r="I10" i="15" s="1"/>
  <c r="J10" i="15" s="1"/>
  <c r="F13" i="1" l="1"/>
  <c r="E12" i="15" s="1"/>
  <c r="F12" i="15" s="1"/>
  <c r="G12" i="15" s="1"/>
  <c r="K10" i="15"/>
  <c r="G12" i="1" s="1"/>
  <c r="I11" i="15" s="1"/>
  <c r="J11" i="15" s="1"/>
  <c r="F14" i="1" l="1"/>
  <c r="E13" i="15" s="1"/>
  <c r="F13" i="15" s="1"/>
  <c r="G13" i="15" s="1"/>
  <c r="K11" i="15"/>
  <c r="G13" i="1" s="1"/>
  <c r="I12" i="15" s="1"/>
  <c r="J12" i="15" s="1"/>
  <c r="F15" i="1" l="1"/>
  <c r="E14" i="15" s="1"/>
  <c r="F14" i="15" s="1"/>
  <c r="G14" i="15" s="1"/>
  <c r="K12" i="15"/>
  <c r="G14" i="1" s="1"/>
  <c r="I13" i="15" s="1"/>
  <c r="J13" i="15" s="1"/>
  <c r="F16" i="1" l="1"/>
  <c r="E15" i="15" s="1"/>
  <c r="F15" i="15" s="1"/>
  <c r="G15" i="15" s="1"/>
  <c r="K13" i="15"/>
  <c r="G15" i="1" s="1"/>
  <c r="I14" i="15" s="1"/>
  <c r="J14" i="15" s="1"/>
  <c r="F17" i="1" l="1"/>
  <c r="E16" i="15" s="1"/>
  <c r="F16" i="15" s="1"/>
  <c r="G16" i="15" s="1"/>
  <c r="K14" i="15"/>
  <c r="G16" i="1" s="1"/>
  <c r="I15" i="15" s="1"/>
  <c r="J15" i="15" s="1"/>
  <c r="F18" i="1" l="1"/>
  <c r="E17" i="15" s="1"/>
  <c r="F17" i="15" s="1"/>
  <c r="G17" i="15" s="1"/>
  <c r="K15" i="15"/>
  <c r="G17" i="1" s="1"/>
  <c r="I16" i="15" s="1"/>
  <c r="J16" i="15" s="1"/>
  <c r="F19" i="1" l="1"/>
  <c r="E18" i="15" s="1"/>
  <c r="F18" i="15" s="1"/>
  <c r="G18" i="15" s="1"/>
  <c r="K16" i="15"/>
  <c r="G18" i="1" s="1"/>
  <c r="I17" i="15" s="1"/>
  <c r="J17" i="15" s="1"/>
  <c r="F20" i="1" l="1"/>
  <c r="E19" i="15" s="1"/>
  <c r="F19" i="15" s="1"/>
  <c r="G19" i="15" s="1"/>
  <c r="K17" i="15"/>
  <c r="G19" i="1" s="1"/>
  <c r="I18" i="15" s="1"/>
  <c r="J18" i="15" s="1"/>
  <c r="F21" i="1" l="1"/>
  <c r="E20" i="15" s="1"/>
  <c r="F20" i="15" s="1"/>
  <c r="G20" i="15" s="1"/>
  <c r="K18" i="15"/>
  <c r="G20" i="1" s="1"/>
  <c r="I19" i="15" s="1"/>
  <c r="J19" i="15" s="1"/>
  <c r="F22" i="1" l="1"/>
  <c r="E21" i="15" s="1"/>
  <c r="F21" i="15" s="1"/>
  <c r="G21" i="15" s="1"/>
  <c r="K19" i="15"/>
  <c r="G21" i="1" s="1"/>
  <c r="I20" i="15" s="1"/>
  <c r="J20" i="15" s="1"/>
  <c r="F23" i="1" l="1"/>
  <c r="E22" i="15" s="1"/>
  <c r="F22" i="15" s="1"/>
  <c r="G22" i="15" s="1"/>
  <c r="K20" i="15"/>
  <c r="G22" i="1" s="1"/>
  <c r="I21" i="15" s="1"/>
  <c r="J21" i="15" s="1"/>
  <c r="F24" i="1" l="1"/>
  <c r="E23" i="15" s="1"/>
  <c r="F23" i="15" s="1"/>
  <c r="G23" i="15" s="1"/>
  <c r="K21" i="15"/>
  <c r="G23" i="1" s="1"/>
  <c r="I22" i="15" s="1"/>
  <c r="J22" i="15" s="1"/>
  <c r="F25" i="1" l="1"/>
  <c r="E24" i="15" s="1"/>
  <c r="F24" i="15" s="1"/>
  <c r="G24" i="15" s="1"/>
  <c r="K22" i="15"/>
  <c r="G24" i="1" s="1"/>
  <c r="I23" i="15" s="1"/>
  <c r="J23" i="15" s="1"/>
  <c r="F26" i="1" l="1"/>
  <c r="E25" i="15" s="1"/>
  <c r="F25" i="15" s="1"/>
  <c r="G25" i="15" s="1"/>
  <c r="K23" i="15"/>
  <c r="G25" i="1" s="1"/>
  <c r="I24" i="15" s="1"/>
  <c r="J24" i="15" s="1"/>
  <c r="F27" i="1" l="1"/>
  <c r="E26" i="15" s="1"/>
  <c r="F26" i="15" s="1"/>
  <c r="G26" i="15" s="1"/>
  <c r="K24" i="15"/>
  <c r="G26" i="1" s="1"/>
  <c r="I25" i="15" s="1"/>
  <c r="J25" i="15" s="1"/>
  <c r="F28" i="1" l="1"/>
  <c r="E27" i="15" s="1"/>
  <c r="F27" i="15" s="1"/>
  <c r="G27" i="15" s="1"/>
  <c r="K25" i="15"/>
  <c r="G27" i="1" s="1"/>
  <c r="I26" i="15" s="1"/>
  <c r="J26" i="15" s="1"/>
  <c r="F29" i="1" l="1"/>
  <c r="E28" i="15" s="1"/>
  <c r="F28" i="15" s="1"/>
  <c r="G28" i="15" s="1"/>
  <c r="K26" i="15"/>
  <c r="G28" i="1" s="1"/>
  <c r="I27" i="15" s="1"/>
  <c r="J27" i="15" s="1"/>
  <c r="F30" i="1" l="1"/>
  <c r="E29" i="15" s="1"/>
  <c r="F29" i="15" s="1"/>
  <c r="G29" i="15" s="1"/>
  <c r="K27" i="15"/>
  <c r="G29" i="1" s="1"/>
  <c r="I28" i="15" s="1"/>
  <c r="J28" i="15" s="1"/>
  <c r="F31" i="1" l="1"/>
  <c r="E30" i="15" s="1"/>
  <c r="F30" i="15" s="1"/>
  <c r="G30" i="15" s="1"/>
  <c r="K28" i="15"/>
  <c r="G30" i="1" s="1"/>
  <c r="I29" i="15" s="1"/>
  <c r="J29" i="15" s="1"/>
  <c r="F32" i="1" l="1"/>
  <c r="E31" i="15" s="1"/>
  <c r="F31" i="15" s="1"/>
  <c r="G31" i="15" s="1"/>
  <c r="K29" i="15"/>
  <c r="G31" i="1" s="1"/>
  <c r="I30" i="15" s="1"/>
  <c r="J30" i="15" s="1"/>
  <c r="F33" i="1" l="1"/>
  <c r="E32" i="15" s="1"/>
  <c r="F32" i="15" s="1"/>
  <c r="G32" i="15" s="1"/>
  <c r="K30" i="15"/>
  <c r="G32" i="1" s="1"/>
  <c r="I31" i="15" s="1"/>
  <c r="J31" i="15" s="1"/>
  <c r="F34" i="1" l="1"/>
  <c r="E33" i="15" s="1"/>
  <c r="F33" i="15" s="1"/>
  <c r="G33" i="15" s="1"/>
  <c r="K31" i="15"/>
  <c r="G33" i="1" s="1"/>
  <c r="I32" i="15" s="1"/>
  <c r="J32" i="15" s="1"/>
  <c r="H5" i="2"/>
  <c r="K11" i="2"/>
  <c r="I6" i="2"/>
  <c r="J13" i="2"/>
  <c r="I8" i="2"/>
  <c r="A2" i="2"/>
  <c r="L10" i="2"/>
  <c r="F6" i="2"/>
  <c r="F35" i="1" l="1"/>
  <c r="E34" i="15" s="1"/>
  <c r="F34" i="15" s="1"/>
  <c r="G34" i="15" s="1"/>
  <c r="K32" i="15"/>
  <c r="G34" i="1" s="1"/>
  <c r="I33" i="15" s="1"/>
  <c r="J33" i="15" s="1"/>
  <c r="I9" i="2"/>
  <c r="J9" i="2"/>
  <c r="J8" i="2"/>
  <c r="J5" i="2"/>
  <c r="J3" i="2"/>
  <c r="G15" i="2"/>
  <c r="H11" i="2"/>
  <c r="J11" i="2"/>
  <c r="K12" i="2"/>
  <c r="K8" i="2"/>
  <c r="J6" i="2"/>
  <c r="H12" i="2"/>
  <c r="F15" i="2"/>
  <c r="I11" i="2"/>
  <c r="K5" i="2"/>
  <c r="L14" i="2"/>
  <c r="E6" i="2"/>
  <c r="I15" i="2"/>
  <c r="L12" i="2"/>
  <c r="H9" i="2"/>
  <c r="F10" i="2"/>
  <c r="I12" i="2"/>
  <c r="E9" i="2"/>
  <c r="E8" i="2"/>
  <c r="G4" i="2"/>
  <c r="F4" i="2"/>
  <c r="F11" i="2"/>
  <c r="L7" i="2"/>
  <c r="I3" i="2"/>
  <c r="I10" i="2"/>
  <c r="H3" i="2"/>
  <c r="F13" i="2"/>
  <c r="J14" i="2"/>
  <c r="E11" i="2"/>
  <c r="H7" i="2"/>
  <c r="L4" i="2"/>
  <c r="L6" i="2"/>
  <c r="G6" i="2"/>
  <c r="K3" i="2"/>
  <c r="L9" i="2"/>
  <c r="K6" i="2"/>
  <c r="G14" i="2"/>
  <c r="F14" i="2"/>
  <c r="L15" i="2"/>
  <c r="L3" i="2"/>
  <c r="F12" i="2"/>
  <c r="G3" i="2"/>
  <c r="J12" i="2"/>
  <c r="K7" i="2"/>
  <c r="F3" i="2"/>
  <c r="E10" i="2"/>
  <c r="K14" i="2"/>
  <c r="E15" i="2"/>
  <c r="G8" i="2"/>
  <c r="L8" i="2"/>
  <c r="J7" i="2"/>
  <c r="E7" i="2"/>
  <c r="G9" i="2"/>
  <c r="E14" i="2"/>
  <c r="G5" i="2"/>
  <c r="I13" i="2"/>
  <c r="J10" i="2"/>
  <c r="G13" i="2"/>
  <c r="K4" i="2"/>
  <c r="J4" i="2"/>
  <c r="E4" i="2"/>
  <c r="I14" i="2"/>
  <c r="L11" i="2"/>
  <c r="H10" i="2"/>
  <c r="I7" i="2"/>
  <c r="G10" i="2"/>
  <c r="J15" i="2"/>
  <c r="K13" i="2"/>
  <c r="E13" i="2"/>
  <c r="I4" i="2"/>
  <c r="L5" i="2"/>
  <c r="H13" i="2"/>
  <c r="E12" i="2"/>
  <c r="H6" i="2"/>
  <c r="F9" i="2"/>
  <c r="F7" i="2"/>
  <c r="F5" i="2"/>
  <c r="L13" i="2"/>
  <c r="G11" i="2"/>
  <c r="K15" i="2"/>
  <c r="K10" i="2"/>
  <c r="G12" i="2"/>
  <c r="I5" i="2"/>
  <c r="H15" i="2"/>
  <c r="K9" i="2"/>
  <c r="H4" i="2"/>
  <c r="E3" i="2"/>
  <c r="A2" i="15"/>
  <c r="E5" i="2"/>
  <c r="H8" i="2"/>
  <c r="F8" i="2"/>
  <c r="G7" i="2"/>
  <c r="H14" i="2"/>
  <c r="F36" i="1" l="1"/>
  <c r="E35" i="15" s="1"/>
  <c r="F35" i="15" s="1"/>
  <c r="G35" i="15" s="1"/>
  <c r="K33" i="15"/>
  <c r="G35" i="1" s="1"/>
  <c r="I34" i="15" s="1"/>
  <c r="J34" i="15" s="1"/>
  <c r="B2" i="15"/>
  <c r="C2" i="15" s="1"/>
  <c r="F37" i="1" l="1"/>
  <c r="E36" i="15" s="1"/>
  <c r="F36" i="15" s="1"/>
  <c r="G36" i="15" s="1"/>
  <c r="K34" i="15"/>
  <c r="G36" i="1" s="1"/>
  <c r="I35" i="15" s="1"/>
  <c r="J35" i="15" s="1"/>
  <c r="E4" i="1"/>
  <c r="A3" i="15" s="1"/>
  <c r="B3" i="15" s="1"/>
  <c r="C3" i="15" s="1"/>
  <c r="F38" i="1" l="1"/>
  <c r="E37" i="15" s="1"/>
  <c r="F37" i="15" s="1"/>
  <c r="G37" i="15" s="1"/>
  <c r="K35" i="15"/>
  <c r="G37" i="1" s="1"/>
  <c r="I36" i="15" s="1"/>
  <c r="J36" i="15" s="1"/>
  <c r="E5" i="1"/>
  <c r="A4" i="15" s="1"/>
  <c r="B4" i="15" s="1"/>
  <c r="C4" i="15" s="1"/>
  <c r="F39" i="1" l="1"/>
  <c r="E38" i="15" s="1"/>
  <c r="F38" i="15" s="1"/>
  <c r="G38" i="15" s="1"/>
  <c r="K36" i="15"/>
  <c r="G38" i="1" s="1"/>
  <c r="I37" i="15" s="1"/>
  <c r="J37" i="15" s="1"/>
  <c r="E6" i="1"/>
  <c r="A5" i="15" s="1"/>
  <c r="B5" i="15" s="1"/>
  <c r="C5" i="15" s="1"/>
  <c r="F40" i="1" l="1"/>
  <c r="E39" i="15" s="1"/>
  <c r="F39" i="15" s="1"/>
  <c r="G39" i="15" s="1"/>
  <c r="K37" i="15"/>
  <c r="G39" i="1" s="1"/>
  <c r="I38" i="15" s="1"/>
  <c r="J38" i="15" s="1"/>
  <c r="E7" i="1"/>
  <c r="A6" i="15" s="1"/>
  <c r="B6" i="15" s="1"/>
  <c r="C6" i="15" s="1"/>
  <c r="F41" i="1" l="1"/>
  <c r="E40" i="15" s="1"/>
  <c r="F40" i="15" s="1"/>
  <c r="G40" i="15" s="1"/>
  <c r="K38" i="15"/>
  <c r="G40" i="1" s="1"/>
  <c r="I39" i="15" s="1"/>
  <c r="J39" i="15" s="1"/>
  <c r="E8" i="1"/>
  <c r="A7" i="15" s="1"/>
  <c r="B7" i="15" s="1"/>
  <c r="C7" i="15" s="1"/>
  <c r="F42" i="1" l="1"/>
  <c r="E41" i="15" s="1"/>
  <c r="F41" i="15" s="1"/>
  <c r="G41" i="15" s="1"/>
  <c r="K39" i="15"/>
  <c r="G41" i="1" s="1"/>
  <c r="I40" i="15" s="1"/>
  <c r="J40" i="15" s="1"/>
  <c r="E9" i="1"/>
  <c r="A8" i="15" s="1"/>
  <c r="B8" i="15" s="1"/>
  <c r="C8" i="15" s="1"/>
  <c r="F43" i="1" l="1"/>
  <c r="E42" i="15" s="1"/>
  <c r="F42" i="15" s="1"/>
  <c r="G42" i="15" s="1"/>
  <c r="K40" i="15"/>
  <c r="G42" i="1" s="1"/>
  <c r="I41" i="15" s="1"/>
  <c r="J41" i="15" s="1"/>
  <c r="E10" i="1"/>
  <c r="A9" i="15" s="1"/>
  <c r="B9" i="15" s="1"/>
  <c r="C9" i="15" s="1"/>
  <c r="F44" i="1" l="1"/>
  <c r="E43" i="15" s="1"/>
  <c r="F43" i="15" s="1"/>
  <c r="G43" i="15" s="1"/>
  <c r="K41" i="15"/>
  <c r="G43" i="1" s="1"/>
  <c r="I42" i="15" s="1"/>
  <c r="J42" i="15" s="1"/>
  <c r="E11" i="1"/>
  <c r="A10" i="15" s="1"/>
  <c r="B10" i="15" s="1"/>
  <c r="C10" i="15" s="1"/>
  <c r="F45" i="1" l="1"/>
  <c r="E44" i="15" s="1"/>
  <c r="F44" i="15" s="1"/>
  <c r="G44" i="15" s="1"/>
  <c r="K42" i="15"/>
  <c r="G44" i="1" s="1"/>
  <c r="I43" i="15" s="1"/>
  <c r="J43" i="15" s="1"/>
  <c r="E12" i="1"/>
  <c r="A11" i="15" s="1"/>
  <c r="B11" i="15" s="1"/>
  <c r="C11" i="15" s="1"/>
  <c r="F46" i="1" l="1"/>
  <c r="E45" i="15" s="1"/>
  <c r="F45" i="15" s="1"/>
  <c r="G45" i="15" s="1"/>
  <c r="K43" i="15"/>
  <c r="G45" i="1" s="1"/>
  <c r="I44" i="15" s="1"/>
  <c r="J44" i="15" s="1"/>
  <c r="E13" i="1"/>
  <c r="A12" i="15" s="1"/>
  <c r="B12" i="15" s="1"/>
  <c r="C12" i="15" s="1"/>
  <c r="F47" i="1" l="1"/>
  <c r="E46" i="15" s="1"/>
  <c r="F46" i="15" s="1"/>
  <c r="G46" i="15" s="1"/>
  <c r="K44" i="15"/>
  <c r="G46" i="1" s="1"/>
  <c r="I45" i="15" s="1"/>
  <c r="J45" i="15" s="1"/>
  <c r="E14" i="1"/>
  <c r="A13" i="15" s="1"/>
  <c r="B13" i="15" s="1"/>
  <c r="C13" i="15" s="1"/>
  <c r="F48" i="1" l="1"/>
  <c r="E47" i="15" s="1"/>
  <c r="F47" i="15" s="1"/>
  <c r="G47" i="15" s="1"/>
  <c r="K45" i="15"/>
  <c r="G47" i="1" s="1"/>
  <c r="I46" i="15" s="1"/>
  <c r="J46" i="15" s="1"/>
  <c r="E15" i="1"/>
  <c r="A14" i="15" s="1"/>
  <c r="B14" i="15" s="1"/>
  <c r="C14" i="15" s="1"/>
  <c r="F49" i="1" l="1"/>
  <c r="E48" i="15" s="1"/>
  <c r="F48" i="15" s="1"/>
  <c r="G48" i="15" s="1"/>
  <c r="K46" i="15"/>
  <c r="G48" i="1" s="1"/>
  <c r="I47" i="15" s="1"/>
  <c r="J47" i="15" s="1"/>
  <c r="E16" i="1"/>
  <c r="A15" i="15" s="1"/>
  <c r="B15" i="15" s="1"/>
  <c r="C15" i="15" s="1"/>
  <c r="F50" i="1" l="1"/>
  <c r="E49" i="15" s="1"/>
  <c r="F49" i="15" s="1"/>
  <c r="G49" i="15" s="1"/>
  <c r="K47" i="15"/>
  <c r="G49" i="1" s="1"/>
  <c r="I48" i="15" s="1"/>
  <c r="J48" i="15" s="1"/>
  <c r="E17" i="1"/>
  <c r="A16" i="15" s="1"/>
  <c r="B16" i="15" s="1"/>
  <c r="C16" i="15" s="1"/>
  <c r="F51" i="1" l="1"/>
  <c r="E50" i="15" s="1"/>
  <c r="F50" i="15" s="1"/>
  <c r="G50" i="15" s="1"/>
  <c r="K48" i="15"/>
  <c r="G50" i="1" s="1"/>
  <c r="I49" i="15" s="1"/>
  <c r="J49" i="15" s="1"/>
  <c r="E18" i="1"/>
  <c r="A17" i="15" s="1"/>
  <c r="B17" i="15" s="1"/>
  <c r="C17" i="15" s="1"/>
  <c r="F52" i="1" l="1"/>
  <c r="E51" i="15" s="1"/>
  <c r="F51" i="15" s="1"/>
  <c r="G51" i="15" s="1"/>
  <c r="K49" i="15"/>
  <c r="G51" i="1" s="1"/>
  <c r="I50" i="15" s="1"/>
  <c r="J50" i="15" s="1"/>
  <c r="E19" i="1"/>
  <c r="A18" i="15" s="1"/>
  <c r="B18" i="15" s="1"/>
  <c r="C18" i="15" s="1"/>
  <c r="F53" i="1" l="1"/>
  <c r="E52" i="15" s="1"/>
  <c r="F52" i="15" s="1"/>
  <c r="G52" i="15" s="1"/>
  <c r="K50" i="15"/>
  <c r="G52" i="1" s="1"/>
  <c r="I51" i="15" s="1"/>
  <c r="J51" i="15" s="1"/>
  <c r="E20" i="1"/>
  <c r="A19" i="15" s="1"/>
  <c r="B19" i="15" s="1"/>
  <c r="C19" i="15" s="1"/>
  <c r="F54" i="1" l="1"/>
  <c r="E53" i="15" s="1"/>
  <c r="F53" i="15" s="1"/>
  <c r="G53" i="15" s="1"/>
  <c r="K51" i="15"/>
  <c r="G53" i="1" s="1"/>
  <c r="I52" i="15" s="1"/>
  <c r="J52" i="15" s="1"/>
  <c r="E21" i="1"/>
  <c r="A20" i="15" s="1"/>
  <c r="B20" i="15" s="1"/>
  <c r="C20" i="15" s="1"/>
  <c r="F55" i="1" l="1"/>
  <c r="E54" i="15" s="1"/>
  <c r="F54" i="15" s="1"/>
  <c r="G54" i="15" s="1"/>
  <c r="K52" i="15"/>
  <c r="G54" i="1" s="1"/>
  <c r="I53" i="15" s="1"/>
  <c r="J53" i="15" s="1"/>
  <c r="E22" i="1"/>
  <c r="A21" i="15" s="1"/>
  <c r="B21" i="15" s="1"/>
  <c r="C21" i="15" s="1"/>
  <c r="F56" i="1" l="1"/>
  <c r="E55" i="15" s="1"/>
  <c r="F55" i="15" s="1"/>
  <c r="G55" i="15" s="1"/>
  <c r="K53" i="15"/>
  <c r="G55" i="1" s="1"/>
  <c r="I54" i="15" s="1"/>
  <c r="J54" i="15" s="1"/>
  <c r="E23" i="1"/>
  <c r="A22" i="15" s="1"/>
  <c r="B22" i="15" s="1"/>
  <c r="C22" i="15" s="1"/>
  <c r="F57" i="1" l="1"/>
  <c r="E56" i="15" s="1"/>
  <c r="F56" i="15" s="1"/>
  <c r="G56" i="15" s="1"/>
  <c r="K54" i="15"/>
  <c r="G56" i="1" s="1"/>
  <c r="I55" i="15" s="1"/>
  <c r="J55" i="15" s="1"/>
  <c r="E24" i="1"/>
  <c r="A23" i="15" s="1"/>
  <c r="B23" i="15" s="1"/>
  <c r="C23" i="15" s="1"/>
  <c r="F58" i="1" l="1"/>
  <c r="E57" i="15" s="1"/>
  <c r="F57" i="15" s="1"/>
  <c r="G57" i="15" s="1"/>
  <c r="K55" i="15"/>
  <c r="G57" i="1" s="1"/>
  <c r="I56" i="15" s="1"/>
  <c r="J56" i="15" s="1"/>
  <c r="E25" i="1"/>
  <c r="A24" i="15" s="1"/>
  <c r="B24" i="15" s="1"/>
  <c r="C24" i="15" s="1"/>
  <c r="K56" i="15" l="1"/>
  <c r="G58" i="1" s="1"/>
  <c r="I57" i="15" s="1"/>
  <c r="J57" i="15" s="1"/>
  <c r="K57" i="15" s="1"/>
  <c r="E26" i="1"/>
  <c r="A25" i="15" s="1"/>
  <c r="B25" i="15" s="1"/>
  <c r="C25" i="15" s="1"/>
  <c r="E27" i="1" l="1"/>
  <c r="A26" i="15" s="1"/>
  <c r="B26" i="15" s="1"/>
  <c r="C26" i="15" s="1"/>
  <c r="E28" i="1" l="1"/>
  <c r="A27" i="15" s="1"/>
  <c r="B27" i="15" s="1"/>
  <c r="C27" i="15" s="1"/>
  <c r="E29" i="1" l="1"/>
  <c r="A28" i="15" s="1"/>
  <c r="B28" i="15" s="1"/>
  <c r="C28" i="15" s="1"/>
  <c r="E30" i="1" l="1"/>
  <c r="A29" i="15" s="1"/>
  <c r="B29" i="15" s="1"/>
  <c r="C29" i="15" s="1"/>
  <c r="E31" i="1" l="1"/>
  <c r="A30" i="15" s="1"/>
  <c r="B30" i="15" s="1"/>
  <c r="C30" i="15" s="1"/>
  <c r="E32" i="1" l="1"/>
  <c r="A31" i="15" s="1"/>
  <c r="B31" i="15" s="1"/>
  <c r="C31" i="15" s="1"/>
  <c r="E33" i="1" l="1"/>
  <c r="A32" i="15" s="1"/>
  <c r="B32" i="15" s="1"/>
  <c r="C32" i="15" s="1"/>
  <c r="E34" i="1" l="1"/>
  <c r="A33" i="15" s="1"/>
  <c r="B33" i="15" s="1"/>
  <c r="C33" i="15" s="1"/>
  <c r="E35" i="1" l="1"/>
  <c r="A34" i="15" s="1"/>
  <c r="B34" i="15" s="1"/>
  <c r="C34" i="15" s="1"/>
  <c r="E36" i="1" l="1"/>
  <c r="A35" i="15" s="1"/>
  <c r="B35" i="15" s="1"/>
  <c r="C35" i="15" s="1"/>
  <c r="E37" i="1" l="1"/>
  <c r="A36" i="15" s="1"/>
  <c r="B36" i="15" s="1"/>
  <c r="C36" i="15" s="1"/>
  <c r="E38" i="1" l="1"/>
  <c r="A37" i="15" s="1"/>
  <c r="B37" i="15" s="1"/>
  <c r="C37" i="15" s="1"/>
  <c r="E39" i="1" l="1"/>
  <c r="A38" i="15" s="1"/>
  <c r="B38" i="15" s="1"/>
  <c r="C38" i="15" s="1"/>
  <c r="E40" i="1" l="1"/>
  <c r="A39" i="15" s="1"/>
  <c r="B39" i="15" s="1"/>
  <c r="C39" i="15" s="1"/>
  <c r="E41" i="1" l="1"/>
  <c r="A40" i="15" s="1"/>
  <c r="B40" i="15" s="1"/>
  <c r="C40" i="15" s="1"/>
  <c r="E42" i="1" l="1"/>
  <c r="A41" i="15" s="1"/>
  <c r="B41" i="15" s="1"/>
  <c r="C41" i="15" s="1"/>
  <c r="E43" i="1" l="1"/>
  <c r="A42" i="15" s="1"/>
  <c r="B42" i="15" s="1"/>
  <c r="C42" i="15" s="1"/>
  <c r="E44" i="1" l="1"/>
  <c r="A43" i="15" s="1"/>
  <c r="B43" i="15" s="1"/>
  <c r="C43" i="15" s="1"/>
  <c r="E45" i="1" l="1"/>
  <c r="A44" i="15" s="1"/>
  <c r="B44" i="15" s="1"/>
  <c r="C44" i="15" s="1"/>
  <c r="E46" i="1" l="1"/>
  <c r="A45" i="15" s="1"/>
  <c r="B45" i="15" s="1"/>
  <c r="C45" i="15" s="1"/>
  <c r="E47" i="1" l="1"/>
  <c r="A46" i="15" s="1"/>
  <c r="B46" i="15" s="1"/>
  <c r="C46" i="15" s="1"/>
  <c r="E48" i="1" l="1"/>
  <c r="A47" i="15" s="1"/>
  <c r="B47" i="15" s="1"/>
  <c r="C47" i="15" s="1"/>
  <c r="E49" i="1" l="1"/>
  <c r="A48" i="15" s="1"/>
  <c r="B48" i="15" s="1"/>
  <c r="C48" i="15" s="1"/>
  <c r="E50" i="1" l="1"/>
  <c r="A49" i="15" s="1"/>
  <c r="B49" i="15" s="1"/>
  <c r="C49" i="15" s="1"/>
  <c r="E51" i="1" l="1"/>
  <c r="A50" i="15" s="1"/>
  <c r="B50" i="15" s="1"/>
  <c r="C50" i="15" s="1"/>
  <c r="E52" i="1" l="1"/>
  <c r="A51" i="15" s="1"/>
  <c r="B51" i="15" s="1"/>
  <c r="C51" i="15" s="1"/>
  <c r="E53" i="1" l="1"/>
  <c r="A52" i="15" s="1"/>
  <c r="B52" i="15" s="1"/>
  <c r="C52" i="15" s="1"/>
  <c r="E54" i="1" l="1"/>
  <c r="A53" i="15" s="1"/>
  <c r="B53" i="15" s="1"/>
  <c r="C53" i="15" s="1"/>
  <c r="E55" i="1" l="1"/>
  <c r="A54" i="15" s="1"/>
  <c r="B54" i="15" s="1"/>
  <c r="C54" i="15" s="1"/>
  <c r="E56" i="1" l="1"/>
  <c r="A55" i="15" s="1"/>
  <c r="B55" i="15" s="1"/>
  <c r="C55" i="15" s="1"/>
  <c r="E57" i="1" l="1"/>
  <c r="A56" i="15" s="1"/>
  <c r="B56" i="15" s="1"/>
  <c r="C56" i="15" s="1"/>
  <c r="E58" i="1" l="1"/>
  <c r="A57" i="15" s="1"/>
  <c r="B57" i="15" s="1"/>
  <c r="C57" i="15" s="1"/>
</calcChain>
</file>

<file path=xl/sharedStrings.xml><?xml version="1.0" encoding="utf-8"?>
<sst xmlns="http://schemas.openxmlformats.org/spreadsheetml/2006/main" count="582" uniqueCount="154">
  <si>
    <t>Frigid</t>
  </si>
  <si>
    <t>Cold</t>
  </si>
  <si>
    <t>Barely Freezing</t>
  </si>
  <si>
    <t>Chilly</t>
  </si>
  <si>
    <t>Mild</t>
  </si>
  <si>
    <t>Warm</t>
  </si>
  <si>
    <t>Hot</t>
  </si>
  <si>
    <t>Heavy Rain</t>
  </si>
  <si>
    <t>Rain</t>
  </si>
  <si>
    <t>Heavy Fog</t>
  </si>
  <si>
    <t>Drizzle</t>
  </si>
  <si>
    <t>Cloudy</t>
  </si>
  <si>
    <t>Overcast</t>
  </si>
  <si>
    <t>Clear</t>
  </si>
  <si>
    <t>Mostly Clear</t>
  </si>
  <si>
    <t>Storm</t>
  </si>
  <si>
    <t>Gale</t>
  </si>
  <si>
    <t>Light Gale</t>
  </si>
  <si>
    <t>Gusty</t>
  </si>
  <si>
    <t>Light Breeze</t>
  </si>
  <si>
    <t>Breeze</t>
  </si>
  <si>
    <t>Calm</t>
  </si>
  <si>
    <t>Night</t>
  </si>
  <si>
    <t>Temp</t>
  </si>
  <si>
    <t>Wind</t>
  </si>
  <si>
    <t>Zondag</t>
  </si>
  <si>
    <t>Maandag</t>
  </si>
  <si>
    <t>Divdag</t>
  </si>
  <si>
    <t>Wouddag</t>
  </si>
  <si>
    <t>Donderdag</t>
  </si>
  <si>
    <t>Vrijdag</t>
  </si>
  <si>
    <t>Sterdag</t>
  </si>
  <si>
    <t>Disadv on ranged attacks</t>
  </si>
  <si>
    <t>Branches rustle, drizzle stays drizzle</t>
  </si>
  <si>
    <t>-</t>
  </si>
  <si>
    <t>Heavy fog or worse has lightning</t>
  </si>
  <si>
    <t xml:space="preserve">Roll ration resource dice twice, take lowest, party skill challenge to avoid exhaustion </t>
  </si>
  <si>
    <t>Heavy fog or worse turns into hail</t>
  </si>
  <si>
    <t>Precipitation turns into snow: tracks, can build with, diff. terr.</t>
  </si>
  <si>
    <t>Reroll torch resource dice, take lowest result, cannot be foggy</t>
  </si>
  <si>
    <t>Minimal clouds, DC 10 to predict winds for the next day (no forecast needed)</t>
  </si>
  <si>
    <t>Movement speed halved in all open areas, skill challenge (shelter, movement, not getting hit by branches)</t>
  </si>
  <si>
    <t>Scorching</t>
  </si>
  <si>
    <t>Day</t>
  </si>
  <si>
    <t>Time</t>
  </si>
  <si>
    <t>Legend</t>
  </si>
  <si>
    <t>Vortex</t>
  </si>
  <si>
    <t>Sunday</t>
  </si>
  <si>
    <t>Monday</t>
  </si>
  <si>
    <t>Divsday</t>
  </si>
  <si>
    <t>Woodsday</t>
  </si>
  <si>
    <t>Thunderday</t>
  </si>
  <si>
    <t>Freeday</t>
  </si>
  <si>
    <t>Starday</t>
  </si>
  <si>
    <t>Creatures do not suffer sunlight sensitivity</t>
  </si>
  <si>
    <t>Full cloud coverage, ground moist enough to leave deep tracks</t>
  </si>
  <si>
    <r>
      <rPr>
        <i/>
        <sz val="10"/>
        <color theme="1"/>
        <rFont val="Calibri"/>
        <family val="2"/>
        <scheme val="minor"/>
      </rPr>
      <t>Wet</t>
    </r>
    <r>
      <rPr>
        <sz val="10"/>
        <color theme="1"/>
        <rFont val="Calibri"/>
        <family val="2"/>
        <scheme val="minor"/>
      </rPr>
      <t xml:space="preserve"> - Lightly obscured (Disadv visual perception) when fog</t>
    </r>
  </si>
  <si>
    <t>Torches cannot be lit; skill challenge, Heavily obscured</t>
  </si>
  <si>
    <r>
      <rPr>
        <i/>
        <sz val="10"/>
        <color theme="1"/>
        <rFont val="Calibri"/>
        <family val="2"/>
        <scheme val="minor"/>
      </rPr>
      <t>Cold temps,</t>
    </r>
    <r>
      <rPr>
        <sz val="10"/>
        <color theme="1"/>
        <rFont val="Calibri"/>
        <family val="2"/>
        <scheme val="minor"/>
      </rPr>
      <t xml:space="preserve"> precipitation turns into freezing rain -&gt; </t>
    </r>
    <r>
      <rPr>
        <i/>
        <sz val="10"/>
        <color theme="1"/>
        <rFont val="Calibri"/>
        <family val="2"/>
        <scheme val="minor"/>
      </rPr>
      <t>difficult terrain</t>
    </r>
  </si>
  <si>
    <t>Roll torch resource dice, take lowest result, tracks washed away, lightly obscured</t>
  </si>
  <si>
    <t>Smoke rises vertically</t>
  </si>
  <si>
    <t>Precipitation</t>
  </si>
  <si>
    <t>Chance</t>
  </si>
  <si>
    <t>Italics: also applies to a category with higher intensity, arrows indicate direction of intensity</t>
  </si>
  <si>
    <t>Default</t>
  </si>
  <si>
    <t xml:space="preserve">Barely Freezing </t>
  </si>
  <si>
    <t xml:space="preserve">Cold </t>
  </si>
  <si>
    <t>Wet Climate</t>
  </si>
  <si>
    <t>Dry Climate</t>
  </si>
  <si>
    <t>Climate</t>
  </si>
  <si>
    <t>Precipitation Frequency</t>
  </si>
  <si>
    <t xml:space="preserve">Rain </t>
  </si>
  <si>
    <t xml:space="preserve">Heavy Fog </t>
  </si>
  <si>
    <t xml:space="preserve">Mild </t>
  </si>
  <si>
    <t xml:space="preserve">Warm </t>
  </si>
  <si>
    <t xml:space="preserve">Cloudy </t>
  </si>
  <si>
    <t xml:space="preserve">Mostly Clear </t>
  </si>
  <si>
    <t>Very Wet Climate</t>
  </si>
  <si>
    <t>Very Dry Climate</t>
  </si>
  <si>
    <t xml:space="preserve">Drizzle </t>
  </si>
  <si>
    <t>Very Cold</t>
  </si>
  <si>
    <t>Very Hot</t>
  </si>
  <si>
    <t xml:space="preserve">Cold  </t>
  </si>
  <si>
    <t xml:space="preserve">Barely Freezing  </t>
  </si>
  <si>
    <t xml:space="preserve">Hot </t>
  </si>
  <si>
    <t xml:space="preserve">Warm  </t>
  </si>
  <si>
    <t xml:space="preserve">Hot  </t>
  </si>
  <si>
    <r>
      <t xml:space="preserve">Heavily obscured, </t>
    </r>
    <r>
      <rPr>
        <i/>
        <sz val="10"/>
        <color theme="1"/>
        <rFont val="Calibri"/>
        <family val="2"/>
        <scheme val="minor"/>
      </rPr>
      <t>Roll of water resource die not required</t>
    </r>
  </si>
  <si>
    <t>Open flames cannot be lit</t>
  </si>
  <si>
    <t>Tracks in sand, dust, and snow get blown away, scent trails travel further, radius of scent based effects halved*</t>
  </si>
  <si>
    <r>
      <t xml:space="preserve">Smoke rises diagonally, </t>
    </r>
    <r>
      <rPr>
        <i/>
        <sz val="10"/>
        <color theme="1"/>
        <rFont val="Calibri"/>
        <family val="2"/>
        <scheme val="minor"/>
      </rPr>
      <t>drizzle becomes fog</t>
    </r>
    <r>
      <rPr>
        <sz val="10"/>
        <color theme="1"/>
        <rFont val="Calibri"/>
        <family val="2"/>
        <scheme val="minor"/>
      </rPr>
      <t xml:space="preserve">, </t>
    </r>
    <r>
      <rPr>
        <i/>
        <sz val="10"/>
        <color theme="1"/>
        <rFont val="Calibri"/>
        <family val="2"/>
        <scheme val="minor"/>
      </rPr>
      <t>scent trails linger, radius of scent based effects doubled</t>
    </r>
    <r>
      <rPr>
        <sz val="10"/>
        <color theme="1"/>
        <rFont val="Calibri"/>
        <family val="2"/>
        <scheme val="minor"/>
      </rPr>
      <t>*</t>
    </r>
  </si>
  <si>
    <t>DC 12 animal handling or animals refuse to move, reroll water resource die, take lowest</t>
  </si>
  <si>
    <t>Roll</t>
  </si>
  <si>
    <t>Effect</t>
  </si>
  <si>
    <t>Encounter</t>
  </si>
  <si>
    <t>Noises</t>
  </si>
  <si>
    <t>Nothing</t>
  </si>
  <si>
    <t>Waste</t>
  </si>
  <si>
    <t>Tracks</t>
  </si>
  <si>
    <t>Spoor</t>
  </si>
  <si>
    <t>Traces</t>
  </si>
  <si>
    <t>Lair</t>
  </si>
  <si>
    <t>Successful stealth check drops noise by 1</t>
  </si>
  <si>
    <r>
      <rPr>
        <b/>
        <sz val="12"/>
        <color theme="1"/>
        <rFont val="Calibri"/>
        <family val="2"/>
        <scheme val="minor"/>
      </rPr>
      <t>Master of the Guard</t>
    </r>
    <r>
      <rPr>
        <b/>
        <sz val="11"/>
        <color theme="1"/>
        <rFont val="Calibri"/>
        <family val="2"/>
        <scheme val="minor"/>
      </rPr>
      <t xml:space="preserve">
</t>
    </r>
    <r>
      <rPr>
        <sz val="11"/>
        <color theme="1"/>
        <rFont val="Calibri"/>
        <family val="2"/>
        <scheme val="minor"/>
      </rPr>
      <t>Final say in all day encounters, responds to the first night encounter, if multiple occur.</t>
    </r>
  </si>
  <si>
    <r>
      <rPr>
        <b/>
        <sz val="12"/>
        <color theme="1"/>
        <rFont val="Calibri"/>
        <family val="2"/>
        <scheme val="minor"/>
      </rPr>
      <t>Navigator</t>
    </r>
    <r>
      <rPr>
        <b/>
        <sz val="14"/>
        <color theme="1"/>
        <rFont val="Calibri"/>
        <family val="2"/>
        <scheme val="minor"/>
      </rPr>
      <t xml:space="preserve">
</t>
    </r>
    <r>
      <rPr>
        <sz val="11"/>
        <color theme="1"/>
        <rFont val="Calibri"/>
        <family val="2"/>
        <scheme val="minor"/>
      </rPr>
      <t>Rolls navigation checks.</t>
    </r>
  </si>
  <si>
    <r>
      <rPr>
        <b/>
        <sz val="11"/>
        <color theme="1"/>
        <rFont val="Calibri"/>
        <family val="2"/>
        <scheme val="minor"/>
      </rPr>
      <t xml:space="preserve">Hustle. </t>
    </r>
    <r>
      <rPr>
        <sz val="11"/>
        <color theme="1"/>
        <rFont val="Calibri"/>
        <family val="2"/>
        <scheme val="minor"/>
      </rPr>
      <t>Increases noise level by one, one additional movement for this segment of the day.</t>
    </r>
  </si>
  <si>
    <t>Decides party initiative order.</t>
  </si>
  <si>
    <t>Chooses one 'party action' per segment of the day (Morning /  Afternoon)</t>
  </si>
  <si>
    <t>Caller</t>
  </si>
  <si>
    <t>Quartermaster</t>
  </si>
  <si>
    <t>Party Roles [Wilderness Travel]</t>
  </si>
  <si>
    <r>
      <rPr>
        <b/>
        <sz val="12"/>
        <color theme="1"/>
        <rFont val="Calibri"/>
        <family val="2"/>
        <scheme val="minor"/>
      </rPr>
      <t xml:space="preserve">Mapper
</t>
    </r>
    <r>
      <rPr>
        <sz val="11"/>
        <color theme="1"/>
        <rFont val="Calibri"/>
        <family val="2"/>
        <scheme val="minor"/>
      </rPr>
      <t>Draws the map.</t>
    </r>
  </si>
  <si>
    <t>Number of Rangers</t>
  </si>
  <si>
    <t>Successful tracking checks</t>
  </si>
  <si>
    <t>Noise level of party [default 0]</t>
  </si>
  <si>
    <r>
      <rPr>
        <b/>
        <sz val="12"/>
        <color theme="1"/>
        <rFont val="Calibri"/>
        <family val="2"/>
        <scheme val="minor"/>
      </rPr>
      <t>Master of the camp</t>
    </r>
    <r>
      <rPr>
        <b/>
        <sz val="11"/>
        <color theme="1"/>
        <rFont val="Calibri"/>
        <family val="2"/>
        <scheme val="minor"/>
      </rPr>
      <t xml:space="preserve">
</t>
    </r>
    <r>
      <rPr>
        <sz val="11"/>
        <color theme="1"/>
        <rFont val="Calibri"/>
        <family val="2"/>
        <scheme val="minor"/>
      </rPr>
      <t>Draws campsite if encounter occurs.
Chooses if party builds extensive camp to negate weather effects.  Examples include digging a wind break, lighting a campfire, and creating a raised camp site.
Variable DC depending on environment and weather, +1 noise per attempted weather negation regardless of success.</t>
    </r>
  </si>
  <si>
    <t>Rolling table</t>
  </si>
  <si>
    <t xml:space="preserve"> </t>
  </si>
  <si>
    <r>
      <t xml:space="preserve">Each encumbered party member increases noise by 1 Each beast of burden increases noise by 1
Each ranger increases the Party Tracking by 1
Each successful tracker increases the Party Tracking by 1
</t>
    </r>
    <r>
      <rPr>
        <b/>
        <sz val="11"/>
        <color theme="1"/>
        <rFont val="Calibri"/>
        <family val="2"/>
        <scheme val="minor"/>
      </rPr>
      <t>Lair</t>
    </r>
    <r>
      <rPr>
        <sz val="11"/>
        <color theme="1"/>
        <rFont val="Calibri"/>
        <family val="2"/>
        <scheme val="minor"/>
      </rPr>
      <t xml:space="preserve"> = encountering a cornered creature in its home + possible lair actions
</t>
    </r>
    <r>
      <rPr>
        <b/>
        <sz val="11"/>
        <color theme="1"/>
        <rFont val="Calibri"/>
        <family val="2"/>
        <scheme val="minor"/>
      </rPr>
      <t xml:space="preserve">Encounter </t>
    </r>
    <r>
      <rPr>
        <sz val="11"/>
        <color theme="1"/>
        <rFont val="Calibri"/>
        <family val="2"/>
        <scheme val="minor"/>
      </rPr>
      <t xml:space="preserve">= coincidentally coming across a creature
</t>
    </r>
    <r>
      <rPr>
        <b/>
        <sz val="11"/>
        <color theme="1"/>
        <rFont val="Calibri"/>
        <family val="2"/>
        <scheme val="minor"/>
      </rPr>
      <t xml:space="preserve">Noises </t>
    </r>
    <r>
      <rPr>
        <sz val="11"/>
        <color theme="1"/>
        <rFont val="Calibri"/>
        <family val="2"/>
        <scheme val="minor"/>
      </rPr>
      <t xml:space="preserve">= creature is very near, +1 noise to next roll
</t>
    </r>
    <r>
      <rPr>
        <b/>
        <sz val="11"/>
        <color theme="1"/>
        <rFont val="Calibri"/>
        <family val="2"/>
        <scheme val="minor"/>
      </rPr>
      <t xml:space="preserve">Waste </t>
    </r>
    <r>
      <rPr>
        <sz val="11"/>
        <color theme="1"/>
        <rFont val="Calibri"/>
        <family val="2"/>
        <scheme val="minor"/>
      </rPr>
      <t xml:space="preserve">= objects left behind by the creature revealing parts of its behavioural pattern
</t>
    </r>
    <r>
      <rPr>
        <b/>
        <sz val="11"/>
        <color theme="1"/>
        <rFont val="Calibri"/>
        <family val="2"/>
        <scheme val="minor"/>
      </rPr>
      <t xml:space="preserve">Tracks </t>
    </r>
    <r>
      <rPr>
        <sz val="11"/>
        <color theme="1"/>
        <rFont val="Calibri"/>
        <family val="2"/>
        <scheme val="minor"/>
      </rPr>
      <t xml:space="preserve">= on successful check can be used to find and surprise creature
</t>
    </r>
    <r>
      <rPr>
        <b/>
        <sz val="11"/>
        <color theme="1"/>
        <rFont val="Calibri"/>
        <family val="2"/>
        <scheme val="minor"/>
      </rPr>
      <t xml:space="preserve">Spoor </t>
    </r>
    <r>
      <rPr>
        <sz val="11"/>
        <color theme="1"/>
        <rFont val="Calibri"/>
        <family val="2"/>
        <scheme val="minor"/>
      </rPr>
      <t xml:space="preserve">= faded tracks, disadv to check
</t>
    </r>
    <r>
      <rPr>
        <b/>
        <sz val="11"/>
        <color theme="1"/>
        <rFont val="Calibri"/>
        <family val="2"/>
        <scheme val="minor"/>
      </rPr>
      <t xml:space="preserve">Traces </t>
    </r>
    <r>
      <rPr>
        <sz val="11"/>
        <color theme="1"/>
        <rFont val="Calibri"/>
        <family val="2"/>
        <scheme val="minor"/>
      </rPr>
      <t>= very vague hint towards creatures nature
[f.e. wispy hair, dung, scales, whatever applies]</t>
    </r>
  </si>
  <si>
    <r>
      <t>Track.</t>
    </r>
    <r>
      <rPr>
        <sz val="11"/>
        <color theme="1"/>
        <rFont val="Calibri"/>
        <family val="2"/>
        <scheme val="minor"/>
      </rPr>
      <t xml:space="preserve"> Assign a number of party members equal to your proficiency bonus to track. Each success increases the likelihood of encountering tracks or other traces of the monster's presence.</t>
    </r>
    <r>
      <rPr>
        <b/>
        <sz val="11"/>
        <color theme="1"/>
        <rFont val="Calibri"/>
        <family val="2"/>
        <scheme val="minor"/>
      </rPr>
      <t xml:space="preserve">
Sneak. </t>
    </r>
    <r>
      <rPr>
        <sz val="11"/>
        <color theme="1"/>
        <rFont val="Calibri"/>
        <family val="2"/>
        <scheme val="minor"/>
      </rPr>
      <t>Every party member makes a stealth check, on a success, decrease noise by one. Speed is halved.</t>
    </r>
    <r>
      <rPr>
        <b/>
        <sz val="11"/>
        <color theme="1"/>
        <rFont val="Calibri"/>
        <family val="2"/>
        <scheme val="minor"/>
      </rPr>
      <t xml:space="preserve">
Forecast.</t>
    </r>
    <r>
      <rPr>
        <sz val="11"/>
        <color theme="1"/>
        <rFont val="Calibri"/>
        <family val="2"/>
        <scheme val="minor"/>
      </rPr>
      <t xml:space="preserve"> Attempt to predict the weather for the next three days.</t>
    </r>
  </si>
  <si>
    <t>https://www.biddytarot.com/tarot-card-meanings/major-arcana/</t>
  </si>
  <si>
    <r>
      <rPr>
        <b/>
        <sz val="12"/>
        <color theme="1"/>
        <rFont val="Calibri"/>
        <family val="2"/>
        <scheme val="minor"/>
      </rPr>
      <t>Tactician</t>
    </r>
    <r>
      <rPr>
        <b/>
        <sz val="11"/>
        <color theme="1"/>
        <rFont val="Calibri"/>
        <family val="2"/>
        <scheme val="minor"/>
      </rPr>
      <t xml:space="preserve">
</t>
    </r>
    <r>
      <rPr>
        <sz val="11"/>
        <color theme="1"/>
        <rFont val="Calibri"/>
        <family val="2"/>
        <scheme val="minor"/>
      </rPr>
      <t xml:space="preserve">Chooses party's marching order.
Can perform the </t>
    </r>
    <r>
      <rPr>
        <b/>
        <sz val="11"/>
        <color theme="1"/>
        <rFont val="Calibri"/>
        <family val="2"/>
        <scheme val="minor"/>
      </rPr>
      <t>Retreat action</t>
    </r>
    <r>
      <rPr>
        <sz val="11"/>
        <color theme="1"/>
        <rFont val="Calibri"/>
        <family val="2"/>
        <scheme val="minor"/>
      </rPr>
      <t xml:space="preserve">. The DM marks an area for retreat. Until the start of your next turn, allies can add the result of a Retreat check to their speed when fleeing. </t>
    </r>
  </si>
  <si>
    <r>
      <rPr>
        <b/>
        <sz val="11"/>
        <color theme="1"/>
        <rFont val="Calibri"/>
        <family val="2"/>
        <scheme val="minor"/>
      </rPr>
      <t>Bustle.</t>
    </r>
    <r>
      <rPr>
        <sz val="11"/>
        <color theme="1"/>
        <rFont val="Calibri"/>
        <family val="2"/>
        <scheme val="minor"/>
      </rPr>
      <t xml:space="preserve"> Increases noise level by two. Can only be taken after Hustle was chosen in the morning. DC [based on environment] Con save or suffer exhaustion equal to consecutive days Hustled.
Adds one additional movement for this segment of the day.
</t>
    </r>
    <r>
      <rPr>
        <b/>
        <sz val="11"/>
        <color theme="1"/>
        <rFont val="Calibri"/>
        <family val="2"/>
        <scheme val="minor"/>
      </rPr>
      <t>Forage.</t>
    </r>
    <r>
      <rPr>
        <sz val="11"/>
        <color theme="1"/>
        <rFont val="Calibri"/>
        <family val="2"/>
        <scheme val="minor"/>
      </rPr>
      <t xml:space="preserve"> Increases noise level by one. Roll food dice twice, take best result. Success vs environment forage DC &gt; max roll means die increase</t>
    </r>
  </si>
  <si>
    <t>Morning</t>
  </si>
  <si>
    <t>Roll resource dice, modified by morning foraging and day weather.</t>
  </si>
  <si>
    <t>Evening</t>
  </si>
  <si>
    <t>Noon</t>
  </si>
  <si>
    <t>Exploration flow</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</si>
  <si>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noon.</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</si>
  <si>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the night.</t>
  </si>
  <si>
    <t>Roll resource dice, modified by evening foraging and night weather.
Build camp in response to environmental conditions.
Potentially take an additional action at the cost of rolling no freebie hit die and not recovering from exhaustion.
Roll twice for encounters, modified by noise.</t>
  </si>
  <si>
    <t>Seed</t>
  </si>
  <si>
    <t>Temperate</t>
  </si>
  <si>
    <t xml:space="preserve">Chilly </t>
  </si>
  <si>
    <t>Normal</t>
  </si>
  <si>
    <t>Sheltered</t>
  </si>
  <si>
    <t xml:space="preserve">Calm </t>
  </si>
  <si>
    <t xml:space="preserve">Light Breeze </t>
  </si>
  <si>
    <t xml:space="preserve">Light Gale </t>
  </si>
  <si>
    <t xml:space="preserve">Gusty </t>
  </si>
  <si>
    <t>Precip</t>
  </si>
  <si>
    <t>Feywild</t>
  </si>
  <si>
    <t>Dutch</t>
  </si>
  <si>
    <t>English</t>
  </si>
  <si>
    <t>Sun</t>
  </si>
  <si>
    <t>Moon</t>
  </si>
  <si>
    <t>Divvying = payday, wages were divvied up</t>
  </si>
  <si>
    <t>Woods</t>
  </si>
  <si>
    <t>Thunder</t>
  </si>
  <si>
    <t>Free</t>
  </si>
  <si>
    <t>Star</t>
  </si>
  <si>
    <t>If repeating a value, add a space after the repeat, for example "Mostly Clear" and "Mostly Clear "</t>
  </si>
  <si>
    <t xml:space="preserve">Mild  </t>
  </si>
  <si>
    <t>Flemish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</si>
</sst>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i/>
      <sz val="10"/>
      <color theme="1"/>
      <name val="Calibri"/>
      <family val="2"/>
      <scheme val="minor"/>
    </font>
    <font>
      <b/>
      <sz val="10"/>
      <name val="Calibri"/>
      <family val="2"/>
      <scheme val="minor"/>
    </font>
    <font>
      <sz val="10"/>
      <name val="Calibri"/>
      <family val="2"/>
      <scheme val="minor"/>
    </font>
    <font>
      <b/>
      <u/>
      <sz val="10"/>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2"/>
      <color theme="0"/>
      <name val="Calibri"/>
      <family val="2"/>
      <scheme val="minor"/>
    </font>
    <font>
      <u/>
      <sz val="11"/>
      <color theme="10"/>
      <name val="Calibri"/>
      <family val="2"/>
      <scheme val="minor"/>
    </font>
    <font>
      <sz val="10"/>
      <color theme="1" tint="4.9989318521683403E-2"/>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5">
    <xf numFmtId="0" fontId="0" fillId="0" borderId="0" xfId="0"/>
    <xf numFmtId="0" fontId="1" fillId="0" borderId="0" xfId="0" applyFont="1"/>
    <xf numFmtId="0" fontId="3" fillId="0" borderId="0" xfId="0" applyFont="1"/>
    <xf numFmtId="0" fontId="1" fillId="0" borderId="0" xfId="0" applyFont="1" applyBorder="1"/>
    <xf numFmtId="0" fontId="3" fillId="0" borderId="0" xfId="0" applyFont="1" applyAlignment="1">
      <alignment horizontal="left"/>
    </xf>
    <xf numFmtId="0" fontId="1" fillId="0" borderId="0" xfId="0" applyFont="1" applyAlignment="1">
      <alignment horizontal="left"/>
    </xf>
    <xf numFmtId="0" fontId="1" fillId="0" borderId="0" xfId="0" applyFont="1" applyAlignment="1">
      <alignment horizontal="right"/>
    </xf>
    <xf numFmtId="0" fontId="3" fillId="0" borderId="0" xfId="0" applyFont="1" applyAlignment="1">
      <alignment horizontal="right"/>
    </xf>
    <xf numFmtId="0" fontId="4" fillId="0" borderId="0" xfId="0" applyFont="1"/>
    <xf numFmtId="0" fontId="4" fillId="0" borderId="0" xfId="0" applyFont="1" applyAlignment="1">
      <alignment horizontal="left"/>
    </xf>
    <xf numFmtId="0" fontId="5" fillId="0" borderId="0" xfId="0" applyFont="1" applyAlignment="1">
      <alignment horizontal="right"/>
    </xf>
    <xf numFmtId="0" fontId="6" fillId="0" borderId="0" xfId="0" applyFont="1" applyAlignment="1">
      <alignment horizontal="righ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1" fillId="0" borderId="8" xfId="0" applyFont="1" applyBorder="1" applyAlignment="1">
      <alignment horizontal="left"/>
    </xf>
    <xf numFmtId="0" fontId="7" fillId="0" borderId="1" xfId="0" applyFont="1" applyBorder="1" applyAlignment="1">
      <alignment horizontal="left"/>
    </xf>
    <xf numFmtId="0" fontId="7" fillId="0" borderId="2" xfId="0" applyFont="1" applyBorder="1" applyAlignment="1">
      <alignment horizontal="left"/>
    </xf>
    <xf numFmtId="0" fontId="7" fillId="0" borderId="1" xfId="0" applyFont="1" applyBorder="1"/>
    <xf numFmtId="0" fontId="7" fillId="0" borderId="3" xfId="0" applyFont="1" applyBorder="1"/>
    <xf numFmtId="0" fontId="2" fillId="2" borderId="0" xfId="0" applyFont="1" applyFill="1"/>
    <xf numFmtId="0" fontId="1" fillId="3" borderId="0" xfId="0" applyFont="1" applyFill="1" applyBorder="1"/>
    <xf numFmtId="0" fontId="1" fillId="3" borderId="0" xfId="0" applyFont="1" applyFill="1"/>
    <xf numFmtId="0" fontId="3" fillId="3" borderId="0" xfId="0" applyFont="1" applyFill="1"/>
    <xf numFmtId="0" fontId="1" fillId="0" borderId="7" xfId="0" applyFont="1" applyBorder="1" applyAlignment="1">
      <alignment horizontal="left"/>
    </xf>
    <xf numFmtId="0" fontId="10" fillId="0" borderId="0" xfId="0" applyFont="1"/>
    <xf numFmtId="0" fontId="7" fillId="0" borderId="2" xfId="0" applyFont="1" applyBorder="1"/>
    <xf numFmtId="0" fontId="1" fillId="0" borderId="0" xfId="0" applyFont="1" applyBorder="1" applyAlignment="1">
      <alignment horizontal="left"/>
    </xf>
    <xf numFmtId="0" fontId="1" fillId="0" borderId="8" xfId="0" applyFont="1" applyBorder="1" applyAlignment="1"/>
    <xf numFmtId="0" fontId="0" fillId="0" borderId="0" xfId="0" applyAlignment="1">
      <alignment horizontal="left" vertical="top" wrapText="1"/>
    </xf>
    <xf numFmtId="0" fontId="13" fillId="0" borderId="0" xfId="0" applyFont="1" applyAlignment="1">
      <alignment horizontal="left" vertical="top" wrapText="1"/>
    </xf>
    <xf numFmtId="0" fontId="9" fillId="0" borderId="0" xfId="0" applyFont="1" applyAlignment="1">
      <alignment horizontal="left" vertical="top" wrapText="1"/>
    </xf>
    <xf numFmtId="0" fontId="13" fillId="0" borderId="0" xfId="0" applyFont="1" applyAlignment="1">
      <alignment vertical="top" wrapText="1"/>
    </xf>
    <xf numFmtId="0" fontId="9" fillId="0" borderId="0" xfId="0" applyFont="1" applyAlignment="1">
      <alignment horizontal="center" vertical="top" wrapText="1"/>
    </xf>
    <xf numFmtId="0" fontId="0" fillId="0" borderId="8" xfId="0" applyBorder="1"/>
    <xf numFmtId="0" fontId="0" fillId="0" borderId="7" xfId="0" applyBorder="1"/>
    <xf numFmtId="0" fontId="0" fillId="0" borderId="6" xfId="0" applyBorder="1"/>
    <xf numFmtId="0" fontId="0" fillId="0" borderId="5" xfId="0" applyBorder="1"/>
    <xf numFmtId="0" fontId="0" fillId="0" borderId="4" xfId="0" applyBorder="1"/>
    <xf numFmtId="0" fontId="0" fillId="0" borderId="3" xfId="0" applyBorder="1"/>
    <xf numFmtId="0" fontId="0" fillId="0" borderId="2" xfId="0" applyBorder="1"/>
    <xf numFmtId="0" fontId="11" fillId="0" borderId="1" xfId="0" applyFont="1" applyBorder="1"/>
    <xf numFmtId="0" fontId="14" fillId="0" borderId="0" xfId="0" applyFont="1"/>
    <xf numFmtId="0" fontId="0" fillId="0" borderId="0" xfId="0" applyAlignment="1">
      <alignment horizontal="right"/>
    </xf>
    <xf numFmtId="0" fontId="11" fillId="0" borderId="4" xfId="0" applyFont="1" applyBorder="1"/>
    <xf numFmtId="0" fontId="11" fillId="0" borderId="6" xfId="0" applyFont="1" applyBorder="1"/>
    <xf numFmtId="0" fontId="11" fillId="0" borderId="12" xfId="0" applyFont="1" applyBorder="1"/>
    <xf numFmtId="0" fontId="11" fillId="0" borderId="13" xfId="0" applyFont="1" applyBorder="1" applyAlignment="1">
      <alignment horizontal="right"/>
    </xf>
    <xf numFmtId="0" fontId="12" fillId="0" borderId="5" xfId="0" applyFont="1" applyBorder="1"/>
    <xf numFmtId="0" fontId="12" fillId="0" borderId="8" xfId="0" applyFont="1" applyBorder="1"/>
    <xf numFmtId="0" fontId="0" fillId="0" borderId="0" xfId="0" applyBorder="1"/>
    <xf numFmtId="0" fontId="9" fillId="0" borderId="0" xfId="0" applyFont="1" applyBorder="1" applyAlignment="1">
      <alignment vertical="top" wrapText="1"/>
    </xf>
    <xf numFmtId="0" fontId="16" fillId="0" borderId="0" xfId="1"/>
    <xf numFmtId="0" fontId="0" fillId="0" borderId="0" xfId="0" applyAlignment="1">
      <alignment vertical="top" wrapText="1"/>
    </xf>
    <xf numFmtId="0" fontId="0" fillId="0" borderId="1" xfId="0" applyBorder="1"/>
    <xf numFmtId="0" fontId="0" fillId="0" borderId="11" xfId="0" applyBorder="1"/>
    <xf numFmtId="0" fontId="0" fillId="0" borderId="10" xfId="0" applyBorder="1"/>
    <xf numFmtId="0" fontId="2" fillId="5" borderId="0" xfId="0" applyFont="1" applyFill="1" applyBorder="1" applyAlignment="1">
      <alignment horizontal="left"/>
    </xf>
    <xf numFmtId="0" fontId="17" fillId="0" borderId="0" xfId="0" applyFont="1" applyBorder="1" applyAlignment="1">
      <alignment horizontal="left"/>
    </xf>
    <xf numFmtId="0" fontId="1" fillId="0" borderId="7" xfId="0" applyFont="1" applyBorder="1" applyAlignment="1"/>
    <xf numFmtId="0" fontId="7" fillId="0" borderId="3" xfId="0" applyFont="1" applyBorder="1" applyAlignment="1">
      <alignment horizontal="left"/>
    </xf>
    <xf numFmtId="0" fontId="9" fillId="0" borderId="0" xfId="0" applyFont="1"/>
    <xf numFmtId="0" fontId="1" fillId="0" borderId="0" xfId="0" applyFont="1" applyFill="1" applyBorder="1"/>
    <xf numFmtId="0" fontId="1" fillId="0" borderId="6" xfId="0" applyFont="1" applyBorder="1" applyAlignment="1">
      <alignment horizontal="left"/>
    </xf>
    <xf numFmtId="0" fontId="1" fillId="0" borderId="7" xfId="0" applyFont="1" applyBorder="1" applyAlignment="1">
      <alignment horizontal="left"/>
    </xf>
    <xf numFmtId="0" fontId="0" fillId="0" borderId="0" xfId="0" applyAlignment="1">
      <alignment horizontal="left" vertical="center" wrapText="1"/>
    </xf>
    <xf numFmtId="0" fontId="0" fillId="0" borderId="0" xfId="0" quotePrefix="1" applyAlignment="1">
      <alignment horizontal="left" vertical="top" wrapText="1"/>
    </xf>
    <xf numFmtId="0" fontId="15" fillId="4" borderId="14" xfId="0" applyFont="1" applyFill="1" applyBorder="1" applyAlignment="1">
      <alignment horizontal="center" vertical="center"/>
    </xf>
    <xf numFmtId="0" fontId="15" fillId="4" borderId="9" xfId="0" applyFont="1" applyFill="1" applyBorder="1" applyAlignment="1">
      <alignment horizontal="center" vertic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0" xfId="0"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1" xfId="0" applyFont="1" applyBorder="1" applyAlignment="1">
      <alignment horizontal="left" vertical="top" wrapText="1"/>
    </xf>
    <xf numFmtId="0" fontId="9" fillId="0" borderId="3" xfId="0" applyFont="1" applyBorder="1" applyAlignment="1">
      <alignment horizontal="left" vertical="top" wrapText="1"/>
    </xf>
    <xf numFmtId="0" fontId="9" fillId="0" borderId="2" xfId="0" applyFont="1" applyBorder="1" applyAlignment="1">
      <alignment horizontal="left" vertical="top" wrapText="1"/>
    </xf>
    <xf numFmtId="0" fontId="9" fillId="0" borderId="0" xfId="0" applyFont="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3" fillId="0" borderId="0" xfId="0" applyFont="1" applyAlignment="1">
      <alignment horizontal="left" wrapText="1"/>
    </xf>
  </cellXfs>
  <cellStyles count="2">
    <cellStyle name="Hyperlink" xfId="1" builtinId="8"/>
    <cellStyle name="Normal" xfId="0" builtinId="0"/>
  </cellStyles>
  <dxfs count="36">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ill>
        <patternFill>
          <bgColor theme="0" tint="-0.24994659260841701"/>
        </patternFill>
      </fill>
    </dxf>
    <dxf>
      <font>
        <u/>
      </font>
    </dxf>
    <dxf>
      <font>
        <u/>
      </font>
    </dxf>
    <dxf>
      <fill>
        <patternFill>
          <bgColor theme="8" tint="-0.24994659260841701"/>
        </patternFill>
      </fill>
    </dxf>
    <dxf>
      <font>
        <u/>
      </font>
    </dxf>
    <dxf>
      <font>
        <u/>
      </font>
    </dxf>
    <dxf>
      <fill>
        <patternFill>
          <bgColor theme="5" tint="0.39994506668294322"/>
        </patternFill>
      </fill>
    </dxf>
    <dxf>
      <fill>
        <patternFill>
          <bgColor theme="0" tint="-0.24994659260841701"/>
        </patternFill>
      </fill>
    </dxf>
    <dxf>
      <font>
        <u/>
      </font>
    </dxf>
    <dxf>
      <font>
        <u/>
      </font>
    </dxf>
    <dxf>
      <fill>
        <patternFill>
          <bgColor theme="4" tint="0.39994506668294322"/>
        </patternFill>
      </fill>
    </dxf>
    <dxf>
      <font>
        <u/>
        <color auto="1"/>
      </font>
    </dxf>
    <dxf>
      <font>
        <u/>
      </font>
    </dxf>
    <dxf>
      <font>
        <u/>
      </font>
    </dxf>
    <dxf>
      <font>
        <u/>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5" lockText="1" noThreeD="1"/>
</file>

<file path=xl/ctrlProps/ctrlProp2.xml><?xml version="1.0" encoding="utf-8"?>
<formControlPr xmlns="http://schemas.microsoft.com/office/spreadsheetml/2009/9/main" objectType="CheckBox" fmlaLink="$P$24"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53340</xdr:colOff>
      <xdr:row>7</xdr:row>
      <xdr:rowOff>68580</xdr:rowOff>
    </xdr:from>
    <xdr:to>
      <xdr:col>8</xdr:col>
      <xdr:colOff>53340</xdr:colOff>
      <xdr:row>10</xdr:row>
      <xdr:rowOff>7620</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a:off x="4884420" y="112776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xdr:row>
      <xdr:rowOff>15240</xdr:rowOff>
    </xdr:from>
    <xdr:to>
      <xdr:col>8</xdr:col>
      <xdr:colOff>53340</xdr:colOff>
      <xdr:row>4</xdr:row>
      <xdr:rowOff>144780</xdr:rowOff>
    </xdr:to>
    <xdr:cxnSp macro="">
      <xdr:nvCxnSpPr>
        <xdr:cNvPr id="3" name="Straight Arrow Connector 2">
          <a:extLst>
            <a:ext uri="{FF2B5EF4-FFF2-40B4-BE49-F238E27FC236}">
              <a16:creationId xmlns:a16="http://schemas.microsoft.com/office/drawing/2014/main" id="{00000000-0008-0000-0000-000003000000}"/>
            </a:ext>
          </a:extLst>
        </xdr:cNvPr>
        <xdr:cNvCxnSpPr/>
      </xdr:nvCxnSpPr>
      <xdr:spPr>
        <a:xfrm flipV="1">
          <a:off x="4884420" y="16764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11</xdr:row>
      <xdr:rowOff>15240</xdr:rowOff>
    </xdr:from>
    <xdr:to>
      <xdr:col>8</xdr:col>
      <xdr:colOff>53340</xdr:colOff>
      <xdr:row>18</xdr:row>
      <xdr:rowOff>121920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4884420" y="1813560"/>
          <a:ext cx="0" cy="13563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20</xdr:row>
      <xdr:rowOff>60960</xdr:rowOff>
    </xdr:from>
    <xdr:to>
      <xdr:col>8</xdr:col>
      <xdr:colOff>53340</xdr:colOff>
      <xdr:row>24</xdr:row>
      <xdr:rowOff>167640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V="1">
          <a:off x="4724400" y="3459480"/>
          <a:ext cx="0" cy="8077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26</xdr:row>
      <xdr:rowOff>7620</xdr:rowOff>
    </xdr:from>
    <xdr:to>
      <xdr:col>8</xdr:col>
      <xdr:colOff>53340</xdr:colOff>
      <xdr:row>28</xdr:row>
      <xdr:rowOff>15240</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884420" y="4457700"/>
          <a:ext cx="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4949384</xdr:colOff>
      <xdr:row>16</xdr:row>
      <xdr:rowOff>6324</xdr:rowOff>
    </xdr:from>
    <xdr:to>
      <xdr:col>12</xdr:col>
      <xdr:colOff>377384</xdr:colOff>
      <xdr:row>17</xdr:row>
      <xdr:rowOff>19576</xdr:rowOff>
    </xdr:to>
    <xdr:sp macro="[0]!Generate_seed" textlink="">
      <xdr:nvSpPr>
        <xdr:cNvPr id="7" name="Rectangle 6">
          <a:extLst>
            <a:ext uri="{FF2B5EF4-FFF2-40B4-BE49-F238E27FC236}">
              <a16:creationId xmlns:a16="http://schemas.microsoft.com/office/drawing/2014/main" id="{00000000-0008-0000-0000-000007000000}"/>
            </a:ext>
          </a:extLst>
        </xdr:cNvPr>
        <xdr:cNvSpPr/>
      </xdr:nvSpPr>
      <xdr:spPr>
        <a:xfrm>
          <a:off x="9729202" y="2680251"/>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New Seed (Ctrl+M)</a:t>
          </a:r>
          <a:endParaRPr lang="en-BE" sz="900"/>
        </a:p>
      </xdr:txBody>
    </xdr:sp>
    <xdr:clientData/>
  </xdr:twoCellAnchor>
  <xdr:twoCellAnchor>
    <xdr:from>
      <xdr:col>9</xdr:col>
      <xdr:colOff>4953000</xdr:colOff>
      <xdr:row>17</xdr:row>
      <xdr:rowOff>62345</xdr:rowOff>
    </xdr:from>
    <xdr:to>
      <xdr:col>12</xdr:col>
      <xdr:colOff>381000</xdr:colOff>
      <xdr:row>18</xdr:row>
      <xdr:rowOff>75597</xdr:rowOff>
    </xdr:to>
    <xdr:sp macro="[0]!Initialise" textlink="">
      <xdr:nvSpPr>
        <xdr:cNvPr id="8" name="Rectangle 7">
          <a:extLst>
            <a:ext uri="{FF2B5EF4-FFF2-40B4-BE49-F238E27FC236}">
              <a16:creationId xmlns:a16="http://schemas.microsoft.com/office/drawing/2014/main" id="{00000000-0008-0000-0000-000008000000}"/>
            </a:ext>
          </a:extLst>
        </xdr:cNvPr>
        <xdr:cNvSpPr/>
      </xdr:nvSpPr>
      <xdr:spPr>
        <a:xfrm>
          <a:off x="9732818" y="2909454"/>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Initialise</a:t>
          </a:r>
          <a:endParaRPr lang="en-BE" sz="9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662940</xdr:colOff>
          <xdr:row>4</xdr:row>
          <xdr:rowOff>7620</xdr:rowOff>
        </xdr:from>
        <xdr:to>
          <xdr:col>3</xdr:col>
          <xdr:colOff>38100</xdr:colOff>
          <xdr:row>5</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464820</xdr:colOff>
      <xdr:row>25</xdr:row>
      <xdr:rowOff>137160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89620" cy="4625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457200</xdr:colOff>
      <xdr:row>0</xdr:row>
      <xdr:rowOff>38100</xdr:rowOff>
    </xdr:from>
    <xdr:to>
      <xdr:col>16</xdr:col>
      <xdr:colOff>472440</xdr:colOff>
      <xdr:row>19</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38100"/>
          <a:ext cx="3185160" cy="3505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22</xdr:row>
          <xdr:rowOff>167640</xdr:rowOff>
        </xdr:from>
        <xdr:to>
          <xdr:col>16</xdr:col>
          <xdr:colOff>53340</xdr:colOff>
          <xdr:row>24</xdr:row>
          <xdr:rowOff>53340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049E1-ABFF-498A-8DDD-E5185F4C3F01}" name="TemperatureTable" displayName="TemperatureTable" ref="A19:F27" totalsRowShown="0" headerRowDxfId="20" dataDxfId="19">
  <autoFilter ref="A19:F27" xr:uid="{CEC9DCFB-CAB9-4920-BEC1-FC28C8B7DF83}"/>
  <tableColumns count="6">
    <tableColumn id="1" xr3:uid="{79DE9E30-5506-42A2-B740-BC37B4C8FC0B}" name="Feywild" dataDxfId="18"/>
    <tableColumn id="2" xr3:uid="{C0FFDCFD-04AA-4CC3-8FE7-A7D478C1470A}" name="Cold" dataDxfId="17"/>
    <tableColumn id="3" xr3:uid="{29EA6608-FDF5-4845-A046-5D13CF73F0DC}" name="Hot" dataDxfId="16"/>
    <tableColumn id="4" xr3:uid="{8BA642D1-C649-40B5-8D3C-74D08D170D2B}" name="Very Cold" dataDxfId="15"/>
    <tableColumn id="5" xr3:uid="{19090506-BA22-4A89-A9DE-277D1F3305F0}" name="Very Hot" dataDxfId="14"/>
    <tableColumn id="6" xr3:uid="{419B65C9-808D-4B94-88D7-E67F8C68327D}" name="Temperate" dataDxfId="13"/>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41C64B-7260-4161-A3C2-F86FBEA7BEDA}" name="precipTable" displayName="precipTable" ref="A19:E27" totalsRowShown="0" headerRowDxfId="12" dataDxfId="11">
  <autoFilter ref="A19:E27" xr:uid="{63C57693-F20B-4FB6-BF96-2B42BA57F22F}"/>
  <tableColumns count="5">
    <tableColumn id="1" xr3:uid="{94392E79-4222-4B29-95B1-BAB40E0DE833}" name="Default" dataDxfId="10"/>
    <tableColumn id="2" xr3:uid="{606C9177-F2A9-4156-B2D1-29535554C129}" name="Very Wet Climate" dataDxfId="9"/>
    <tableColumn id="3" xr3:uid="{28A918BB-F928-4301-AFD4-0043D63E909A}" name="Very Dry Climate" dataDxfId="8"/>
    <tableColumn id="4" xr3:uid="{AA8626F9-9162-49BF-92CA-BFF6448458F0}" name="Wet Climate" dataDxfId="7"/>
    <tableColumn id="5" xr3:uid="{84D6A21A-8F68-4863-8524-214FDF04E6AB}" name="Dry Climate" dataDxfId="6"/>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A8C60E-8340-45BE-BE05-766F9ED37D75}" name="windTable" displayName="windTable" ref="A19:C27" totalsRowShown="0" headerRowDxfId="5" dataDxfId="4">
  <autoFilter ref="A19:C27" xr:uid="{68F5D425-C0A7-41FF-AE44-A941BE1D74B2}"/>
  <tableColumns count="3">
    <tableColumn id="1" xr3:uid="{3156041D-BFBA-4AD5-913C-84D80A2407D7}" name="Normal" dataDxfId="3"/>
    <tableColumn id="2" xr3:uid="{0658E904-E9A9-4D8C-A92D-C67123A887C9}" name="Gusty" dataDxfId="2"/>
    <tableColumn id="3" xr3:uid="{4631A0AF-2C8E-40D6-8157-FFCBAD047DA2}" name="Sheltered" dataDxfId="1"/>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0366EC-2381-46C7-92E5-63A0EA2B10F2}" name="weekDays" displayName="weekDays" ref="A3:B10" totalsRowShown="0">
  <autoFilter ref="A3:B10" xr:uid="{D05316C0-DD6F-4130-8CAD-E140A4F8DBFE}"/>
  <tableColumns count="2">
    <tableColumn id="1" xr3:uid="{93AA3C6D-B8BE-4280-8243-92833959A52E}" name="Flemish"/>
    <tableColumn id="2" xr3:uid="{20852741-A9E3-413C-8A30-14FD373BF8D2}" name="Englis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ddytarot.com/tarot-card-meanings/major-arcana/"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4E172-2FD1-482D-A64A-333824F4CDE6}">
  <sheetPr codeName="Sheet1"/>
  <dimension ref="A1:R61"/>
  <sheetViews>
    <sheetView showGridLines="0" tabSelected="1" zoomScale="110" zoomScaleNormal="110" workbookViewId="0">
      <pane ySplit="2" topLeftCell="A3" activePane="bottomLeft" state="frozen"/>
      <selection activeCell="A2" sqref="A2"/>
      <selection pane="bottomLeft" activeCell="G3" sqref="G3"/>
    </sheetView>
  </sheetViews>
  <sheetFormatPr defaultRowHeight="13.8" x14ac:dyDescent="0.3"/>
  <cols>
    <col min="1" max="1" width="2.77734375" style="1" customWidth="1"/>
    <col min="2" max="2" width="9.77734375" style="1" customWidth="1"/>
    <col min="3" max="3" width="6.6640625" style="1" customWidth="1"/>
    <col min="4" max="4" width="1.6640625" style="1" customWidth="1"/>
    <col min="5" max="5" width="12.6640625" style="1" customWidth="1"/>
    <col min="6" max="6" width="12" style="1" customWidth="1"/>
    <col min="7" max="7" width="10.33203125" style="1" customWidth="1"/>
    <col min="8" max="8" width="12.21875" style="1" customWidth="1"/>
    <col min="9" max="9" width="1.5546875" style="1" customWidth="1"/>
    <col min="10" max="10" width="72.5546875" style="1" customWidth="1"/>
    <col min="11" max="11" width="9.109375" style="1" customWidth="1"/>
    <col min="12" max="12" width="1.77734375" style="1" customWidth="1"/>
    <col min="13" max="13" width="17.5546875" style="1" customWidth="1"/>
    <col min="14" max="14" width="11.77734375" style="1" customWidth="1"/>
    <col min="15" max="16384" width="8.88671875" style="1"/>
  </cols>
  <sheetData>
    <row r="1" spans="1:18" ht="16.8" hidden="1" customHeight="1" x14ac:dyDescent="0.3"/>
    <row r="2" spans="1:18" ht="12" customHeight="1" x14ac:dyDescent="0.3">
      <c r="A2" s="1" t="s">
        <v>43</v>
      </c>
      <c r="C2" s="1" t="s">
        <v>44</v>
      </c>
      <c r="E2" s="2" t="s">
        <v>23</v>
      </c>
      <c r="F2" s="2" t="s">
        <v>61</v>
      </c>
      <c r="G2" s="2" t="s">
        <v>24</v>
      </c>
      <c r="H2" s="7" t="s">
        <v>45</v>
      </c>
      <c r="I2" s="2"/>
      <c r="J2" s="8" t="s">
        <v>63</v>
      </c>
    </row>
    <row r="3" spans="1:18" ht="14.4" thickBot="1" x14ac:dyDescent="0.35">
      <c r="A3" s="2">
        <v>1</v>
      </c>
      <c r="B3" s="23" t="s">
        <v>52</v>
      </c>
      <c r="C3" s="1" t="s">
        <v>43</v>
      </c>
      <c r="E3" s="21" t="s">
        <v>3</v>
      </c>
      <c r="F3" s="21" t="s">
        <v>14</v>
      </c>
      <c r="G3" s="22" t="s">
        <v>21</v>
      </c>
      <c r="H3" s="10" t="s">
        <v>0</v>
      </c>
      <c r="I3" s="10"/>
      <c r="J3" s="5" t="s">
        <v>36</v>
      </c>
      <c r="P3" s="5"/>
      <c r="Q3" s="5"/>
      <c r="R3" s="5"/>
    </row>
    <row r="4" spans="1:18" x14ac:dyDescent="0.3">
      <c r="A4" s="2"/>
      <c r="B4" s="2"/>
      <c r="C4" s="20" t="s">
        <v>22</v>
      </c>
      <c r="E4" s="3" t="str">
        <f>INDEX(Temp!$E$4:$L$15,BackEnd!C2,MATCH(E3,Temp!$A$4:$A$11,0))</f>
        <v>Barely Freezing</v>
      </c>
      <c r="F4" s="62" t="str">
        <f>INDEX(Precip!$E$4:$L$15,BackEnd!G2,MATCH(F3,Precip!$A$4:$A$11,0))</f>
        <v>Overcast</v>
      </c>
      <c r="G4" s="3" t="str">
        <f>INDEX(Wind!$E$4:$L$15,BackEnd!K2,MATCH(G3,Wind!$A$4:$A$11,0))</f>
        <v>Breeze</v>
      </c>
      <c r="H4" s="11" t="s">
        <v>1</v>
      </c>
      <c r="I4" s="11"/>
      <c r="J4" s="9" t="s">
        <v>38</v>
      </c>
      <c r="K4" s="18" t="s">
        <v>142</v>
      </c>
      <c r="L4" s="26"/>
      <c r="M4" s="19" t="s">
        <v>143</v>
      </c>
      <c r="P4" s="5"/>
      <c r="Q4" s="5"/>
      <c r="R4" s="5"/>
    </row>
    <row r="5" spans="1:18" ht="14.4" x14ac:dyDescent="0.3">
      <c r="A5" s="2">
        <v>2</v>
      </c>
      <c r="B5" s="2" t="str">
        <f>INDEX(weekDays[English],MOD(MATCH(B3,weekDays[English],0),ROWS(weekDays[]))+1)</f>
        <v>Starday</v>
      </c>
      <c r="C5" s="1" t="s">
        <v>43</v>
      </c>
      <c r="E5" s="3" t="str">
        <f>INDEX(Temp!$E$4:$L$15,BackEnd!C3,MATCH(E4,Temp!$A$4:$A$11,0))</f>
        <v>Barely Freezing</v>
      </c>
      <c r="F5" s="62" t="str">
        <f>INDEX(Precip!$E$4:$L$15,BackEnd!G3,MATCH(F4,Precip!$A$4:$A$11,0))</f>
        <v>Drizzle</v>
      </c>
      <c r="G5" s="3" t="str">
        <f>INDEX(Wind!$E$4:$L$15,BackEnd!K3,MATCH(G4,Wind!$A$4:$A$11,0))</f>
        <v>Calm</v>
      </c>
      <c r="H5" s="11" t="s">
        <v>2</v>
      </c>
      <c r="I5" s="11"/>
      <c r="J5" s="5" t="s">
        <v>58</v>
      </c>
      <c r="K5" s="12" t="str">
        <f>Days!A4</f>
        <v>Zondag</v>
      </c>
      <c r="L5" s="27"/>
      <c r="M5" s="13" t="str">
        <f>Days!B4</f>
        <v>Sunday</v>
      </c>
      <c r="N5"/>
      <c r="P5" s="5"/>
      <c r="Q5" s="5"/>
      <c r="R5" s="5"/>
    </row>
    <row r="6" spans="1:18" ht="14.4" x14ac:dyDescent="0.3">
      <c r="C6" s="20" t="s">
        <v>22</v>
      </c>
      <c r="E6" s="3" t="str">
        <f>INDEX(Temp!$E$4:$L$15,BackEnd!C4,MATCH(E5,Temp!$A$4:$A$11,0))</f>
        <v>Chilly</v>
      </c>
      <c r="F6" s="62" t="str">
        <f>INDEX(Precip!$E$4:$L$15,BackEnd!G4,MATCH(F5,Precip!$A$4:$A$11,0))</f>
        <v>Heavy Fog</v>
      </c>
      <c r="G6" s="3" t="str">
        <f>INDEX(Wind!$E$4:$L$15,BackEnd!K4,MATCH(G5,Wind!$A$4:$A$11,0))</f>
        <v>Calm</v>
      </c>
      <c r="H6" s="6" t="s">
        <v>3</v>
      </c>
      <c r="I6" s="6"/>
      <c r="J6" s="5" t="s">
        <v>37</v>
      </c>
      <c r="K6" s="12" t="str">
        <f>Days!A5</f>
        <v>Maandag</v>
      </c>
      <c r="L6" s="27"/>
      <c r="M6" s="13" t="str">
        <f>Days!B5</f>
        <v>Monday</v>
      </c>
      <c r="N6"/>
      <c r="P6" s="5"/>
      <c r="Q6" s="5"/>
      <c r="R6" s="5"/>
    </row>
    <row r="7" spans="1:18" ht="14.4" x14ac:dyDescent="0.3">
      <c r="A7" s="2">
        <v>3</v>
      </c>
      <c r="B7" s="2" t="str">
        <f>INDEX(weekDays[English],MOD(MATCH(B5,weekDays[English],0),ROWS(weekDays[]))+1)</f>
        <v>Sunday</v>
      </c>
      <c r="C7" s="1" t="s">
        <v>43</v>
      </c>
      <c r="E7" s="3" t="str">
        <f>INDEX(Temp!$E$4:$L$15,BackEnd!C5,MATCH(E6,Temp!$A$4:$A$11,0))</f>
        <v>Chilly</v>
      </c>
      <c r="F7" s="62" t="str">
        <f>INDEX(Precip!$E$4:$L$15,BackEnd!G5,MATCH(F6,Precip!$A$4:$A$11,0))</f>
        <v>Heavy Rain</v>
      </c>
      <c r="G7" s="3" t="str">
        <f>INDEX(Wind!$E$4:$L$15,BackEnd!K5,MATCH(G6,Wind!$A$4:$A$11,0))</f>
        <v>Light Breeze</v>
      </c>
      <c r="H7" s="6" t="s">
        <v>4</v>
      </c>
      <c r="I7" s="6"/>
      <c r="J7" s="5" t="s">
        <v>34</v>
      </c>
      <c r="K7" s="12" t="str">
        <f>Days!A6</f>
        <v>Divdag</v>
      </c>
      <c r="L7" s="27"/>
      <c r="M7" s="13" t="str">
        <f>Days!B6</f>
        <v>Divsday</v>
      </c>
      <c r="N7"/>
      <c r="P7" s="5"/>
      <c r="Q7" s="5"/>
      <c r="R7" s="5"/>
    </row>
    <row r="8" spans="1:18" ht="14.4" x14ac:dyDescent="0.3">
      <c r="A8" s="2"/>
      <c r="C8" s="20" t="s">
        <v>22</v>
      </c>
      <c r="E8" s="3" t="str">
        <f>INDEX(Temp!$E$4:$L$15,BackEnd!C6,MATCH(E7,Temp!$A$4:$A$11,0))</f>
        <v>Barely Freezing</v>
      </c>
      <c r="F8" s="62" t="str">
        <f>INDEX(Precip!$E$4:$L$15,BackEnd!G6,MATCH(F7,Precip!$A$4:$A$11,0))</f>
        <v>Rain</v>
      </c>
      <c r="G8" s="3" t="str">
        <f>INDEX(Wind!$E$4:$L$15,BackEnd!K6,MATCH(G7,Wind!$A$4:$A$11,0))</f>
        <v>Calm</v>
      </c>
      <c r="H8" s="6" t="s">
        <v>5</v>
      </c>
      <c r="I8" s="6"/>
      <c r="J8" s="9" t="s">
        <v>35</v>
      </c>
      <c r="K8" s="12" t="str">
        <f>Days!A7</f>
        <v>Wouddag</v>
      </c>
      <c r="L8" s="27"/>
      <c r="M8" s="13" t="str">
        <f>Days!B7</f>
        <v>Woodsday</v>
      </c>
      <c r="N8"/>
      <c r="P8" s="5"/>
      <c r="Q8" s="5"/>
      <c r="R8" s="5"/>
    </row>
    <row r="9" spans="1:18" ht="14.4" x14ac:dyDescent="0.3">
      <c r="A9" s="2">
        <v>4</v>
      </c>
      <c r="B9" s="2" t="str">
        <f>INDEX(weekDays[English],MOD(MATCH(B7,weekDays[English],0),ROWS(weekDays[]))+1)</f>
        <v>Monday</v>
      </c>
      <c r="C9" s="1" t="s">
        <v>43</v>
      </c>
      <c r="E9" s="3" t="str">
        <f>INDEX(Temp!$E$4:$L$15,BackEnd!C7,MATCH(E8,Temp!$A$4:$A$11,0))</f>
        <v>Barely Freezing</v>
      </c>
      <c r="F9" s="62" t="str">
        <f>INDEX(Precip!$E$4:$L$15,BackEnd!G7,MATCH(F8,Precip!$A$4:$A$11,0))</f>
        <v>Rain</v>
      </c>
      <c r="G9" s="3" t="str">
        <f>INDEX(Wind!$E$4:$L$15,BackEnd!K7,MATCH(G8,Wind!$A$4:$A$11,0))</f>
        <v>Light Breeze</v>
      </c>
      <c r="H9" s="6" t="s">
        <v>6</v>
      </c>
      <c r="I9" s="6"/>
      <c r="J9" s="9" t="s">
        <v>91</v>
      </c>
      <c r="K9" s="12" t="str">
        <f>Days!A8</f>
        <v>Donderdag</v>
      </c>
      <c r="L9" s="27"/>
      <c r="M9" s="13" t="str">
        <f>Days!B8</f>
        <v>Thunderday</v>
      </c>
      <c r="N9"/>
      <c r="P9" s="5"/>
      <c r="Q9" s="5"/>
      <c r="R9" s="5"/>
    </row>
    <row r="10" spans="1:18" ht="14.4" x14ac:dyDescent="0.3">
      <c r="A10" s="2"/>
      <c r="C10" s="20" t="s">
        <v>22</v>
      </c>
      <c r="E10" s="3" t="str">
        <f>INDEX(Temp!$E$4:$L$15,BackEnd!C8,MATCH(E9,Temp!$A$4:$A$11,0))</f>
        <v>Mild</v>
      </c>
      <c r="F10" s="62" t="str">
        <f>INDEX(Precip!$E$4:$L$15,BackEnd!G8,MATCH(F9,Precip!$A$4:$A$11,0))</f>
        <v>Heavy Rain</v>
      </c>
      <c r="G10" s="3" t="str">
        <f>INDEX(Wind!$E$4:$L$15,BackEnd!K8,MATCH(G9,Wind!$A$4:$A$11,0))</f>
        <v>Gusty</v>
      </c>
      <c r="H10" s="6" t="s">
        <v>42</v>
      </c>
      <c r="I10" s="6"/>
      <c r="J10" s="5" t="s">
        <v>36</v>
      </c>
      <c r="K10" s="12" t="str">
        <f>Days!A9</f>
        <v>Vrijdag</v>
      </c>
      <c r="L10" s="27"/>
      <c r="M10" s="13" t="str">
        <f>Days!B9</f>
        <v>Freeday</v>
      </c>
      <c r="N10"/>
      <c r="O10" s="5"/>
      <c r="P10" s="5"/>
      <c r="Q10" s="5"/>
      <c r="R10" s="5"/>
    </row>
    <row r="11" spans="1:18" ht="15" thickBot="1" x14ac:dyDescent="0.35">
      <c r="A11" s="2">
        <v>5</v>
      </c>
      <c r="B11" s="2" t="str">
        <f>INDEX(weekDays[English],MOD(MATCH(B9,weekDays[English],0),ROWS(weekDays[]))+1)</f>
        <v>Divsday</v>
      </c>
      <c r="C11" s="1" t="s">
        <v>43</v>
      </c>
      <c r="E11" s="3" t="str">
        <f>INDEX(Temp!$E$4:$L$15,BackEnd!C9,MATCH(E10,Temp!$A$4:$A$11,0))</f>
        <v>Warm</v>
      </c>
      <c r="F11" s="62" t="str">
        <f>INDEX(Precip!$E$4:$L$15,BackEnd!G9,MATCH(F10,Precip!$A$4:$A$11,0))</f>
        <v>Heavy Fog</v>
      </c>
      <c r="G11" s="3" t="str">
        <f>INDEX(Wind!$E$4:$L$15,BackEnd!K9,MATCH(G10,Wind!$A$4:$A$11,0))</f>
        <v>Breeze</v>
      </c>
      <c r="H11" s="6"/>
      <c r="I11" s="6"/>
      <c r="J11" s="5"/>
      <c r="K11" s="14" t="str">
        <f>Days!A10</f>
        <v>Sterdag</v>
      </c>
      <c r="L11" s="24"/>
      <c r="M11" s="15" t="str">
        <f>Days!B10</f>
        <v>Starday</v>
      </c>
      <c r="N11"/>
      <c r="O11" s="5"/>
      <c r="P11" s="5"/>
      <c r="Q11" s="5"/>
      <c r="R11" s="5"/>
    </row>
    <row r="12" spans="1:18" ht="14.4" thickBot="1" x14ac:dyDescent="0.35">
      <c r="C12" s="20" t="s">
        <v>22</v>
      </c>
      <c r="E12" s="3" t="str">
        <f>INDEX(Temp!$E$4:$L$15,BackEnd!C10,MATCH(E11,Temp!$A$4:$A$11,0))</f>
        <v>Mild</v>
      </c>
      <c r="F12" s="62" t="str">
        <f>INDEX(Precip!$E$4:$L$15,BackEnd!G10,MATCH(F11,Precip!$A$4:$A$11,0))</f>
        <v>Drizzle</v>
      </c>
      <c r="G12" s="3" t="str">
        <f>INDEX(Wind!$E$4:$L$15,BackEnd!K10,MATCH(G11,Wind!$A$4:$A$11,0))</f>
        <v>Gusty</v>
      </c>
      <c r="H12" s="10" t="s">
        <v>7</v>
      </c>
      <c r="I12" s="10"/>
      <c r="J12" s="5" t="s">
        <v>57</v>
      </c>
      <c r="K12" s="5"/>
      <c r="L12" s="5"/>
      <c r="M12" s="5"/>
      <c r="N12" s="5"/>
      <c r="O12" s="5"/>
      <c r="P12" s="5"/>
      <c r="Q12" s="5"/>
      <c r="R12" s="5"/>
    </row>
    <row r="13" spans="1:18" x14ac:dyDescent="0.3">
      <c r="A13" s="2">
        <v>6</v>
      </c>
      <c r="B13" s="2" t="str">
        <f>INDEX(weekDays[English],MOD(MATCH(B11,weekDays[English],0),ROWS(weekDays[]))+1)</f>
        <v>Woodsday</v>
      </c>
      <c r="C13" s="1" t="s">
        <v>43</v>
      </c>
      <c r="E13" s="3" t="str">
        <f>INDEX(Temp!$E$4:$L$15,BackEnd!C11,MATCH(E12,Temp!$A$4:$A$11,0))</f>
        <v>Chilly</v>
      </c>
      <c r="F13" s="62" t="str">
        <f>INDEX(Precip!$E$4:$L$15,BackEnd!G11,MATCH(F12,Precip!$A$4:$A$11,0))</f>
        <v>Heavy Fog</v>
      </c>
      <c r="G13" s="3" t="str">
        <f>INDEX(Wind!$E$4:$L$15,BackEnd!K11,MATCH(G12,Wind!$A$4:$A$11,0))</f>
        <v>Gusty</v>
      </c>
      <c r="H13" s="11" t="s">
        <v>8</v>
      </c>
      <c r="I13" s="11"/>
      <c r="J13" s="5" t="s">
        <v>59</v>
      </c>
      <c r="K13" s="16" t="s">
        <v>69</v>
      </c>
      <c r="L13" s="17" t="s">
        <v>70</v>
      </c>
      <c r="M13" s="17"/>
      <c r="N13" s="60" t="s">
        <v>24</v>
      </c>
      <c r="O13" s="27"/>
      <c r="P13" s="5"/>
      <c r="Q13" s="5"/>
      <c r="R13" s="5"/>
    </row>
    <row r="14" spans="1:18" ht="15" customHeight="1" thickBot="1" x14ac:dyDescent="0.35">
      <c r="A14" s="2"/>
      <c r="C14" s="20" t="s">
        <v>22</v>
      </c>
      <c r="E14" s="3" t="str">
        <f>INDEX(Temp!$E$4:$L$15,BackEnd!C12,MATCH(E13,Temp!$A$4:$A$11,0))</f>
        <v>Barely Freezing</v>
      </c>
      <c r="F14" s="62" t="str">
        <f>INDEX(Precip!$E$4:$L$15,BackEnd!G12,MATCH(F13,Precip!$A$4:$A$11,0))</f>
        <v>Heavy Fog</v>
      </c>
      <c r="G14" s="3" t="str">
        <f>INDEX(Wind!$E$4:$L$15,BackEnd!K12,MATCH(G13,Wind!$A$4:$A$11,0))</f>
        <v>Gale</v>
      </c>
      <c r="H14" s="11" t="s">
        <v>9</v>
      </c>
      <c r="I14" s="11"/>
      <c r="J14" s="5" t="s">
        <v>87</v>
      </c>
      <c r="K14" s="63" t="s">
        <v>141</v>
      </c>
      <c r="L14" s="64"/>
      <c r="M14" s="59" t="s">
        <v>64</v>
      </c>
      <c r="N14" s="28" t="s">
        <v>134</v>
      </c>
      <c r="O14" s="27"/>
      <c r="P14" s="5"/>
      <c r="Q14" s="5"/>
      <c r="R14" s="5"/>
    </row>
    <row r="15" spans="1:18" x14ac:dyDescent="0.3">
      <c r="A15" s="2">
        <v>7</v>
      </c>
      <c r="B15" s="2" t="str">
        <f>INDEX(weekDays[English],MOD(MATCH(B13,weekDays[English],0),ROWS(weekDays[]))+1)</f>
        <v>Thunderday</v>
      </c>
      <c r="C15" s="1" t="s">
        <v>43</v>
      </c>
      <c r="E15" s="3" t="str">
        <f>INDEX(Temp!$E$4:$L$15,BackEnd!C13,MATCH(E14,Temp!$A$4:$A$11,0))</f>
        <v>Barely Freezing</v>
      </c>
      <c r="F15" s="62" t="str">
        <f>INDEX(Precip!$E$4:$L$15,BackEnd!G13,MATCH(F14,Precip!$A$4:$A$11,0))</f>
        <v>Drizzle</v>
      </c>
      <c r="G15" s="3" t="str">
        <f>INDEX(Wind!$E$4:$L$15,BackEnd!K13,MATCH(G14,Wind!$A$4:$A$11,0))</f>
        <v>Storm</v>
      </c>
      <c r="H15" s="11" t="s">
        <v>10</v>
      </c>
      <c r="I15" s="11"/>
      <c r="J15" s="5" t="s">
        <v>56</v>
      </c>
      <c r="K15" s="58"/>
      <c r="L15" s="27"/>
      <c r="M15" s="27"/>
      <c r="N15" s="27"/>
      <c r="O15" s="27"/>
      <c r="P15" s="5"/>
      <c r="Q15" s="5"/>
      <c r="R15" s="5"/>
    </row>
    <row r="16" spans="1:18" x14ac:dyDescent="0.3">
      <c r="A16" s="2"/>
      <c r="C16" s="20" t="s">
        <v>22</v>
      </c>
      <c r="E16" s="3" t="str">
        <f>INDEX(Temp!$E$4:$L$15,BackEnd!C14,MATCH(E15,Temp!$A$4:$A$11,0))</f>
        <v>Cold</v>
      </c>
      <c r="F16" s="62" t="str">
        <f>INDEX(Precip!$E$4:$L$15,BackEnd!G14,MATCH(F15,Precip!$A$4:$A$11,0))</f>
        <v>Drizzle</v>
      </c>
      <c r="G16" s="3" t="str">
        <f>INDEX(Wind!$E$4:$L$15,BackEnd!K14,MATCH(G15,Wind!$A$4:$A$11,0))</f>
        <v>Vortex</v>
      </c>
      <c r="H16" s="6" t="s">
        <v>12</v>
      </c>
      <c r="I16" s="6"/>
      <c r="J16" s="9" t="s">
        <v>55</v>
      </c>
      <c r="K16" s="27" t="s">
        <v>131</v>
      </c>
      <c r="L16" s="27"/>
      <c r="M16" s="27">
        <v>54124783</v>
      </c>
      <c r="N16" s="27"/>
      <c r="O16" s="27"/>
      <c r="P16" s="5"/>
      <c r="Q16" s="5"/>
      <c r="R16" s="5"/>
    </row>
    <row r="17" spans="1:18" x14ac:dyDescent="0.3">
      <c r="A17" s="2">
        <v>8</v>
      </c>
      <c r="B17" s="2" t="str">
        <f>INDEX(weekDays[English],MOD(MATCH(B15,weekDays[English],0),ROWS(weekDays[]))+1)</f>
        <v>Freeday</v>
      </c>
      <c r="C17" s="1" t="s">
        <v>43</v>
      </c>
      <c r="E17" s="3" t="str">
        <f>INDEX(Temp!$E$4:$L$15,BackEnd!C15,MATCH(E16,Temp!$A$4:$A$11,0))</f>
        <v>Frigid</v>
      </c>
      <c r="F17" s="62" t="str">
        <f>INDEX(Precip!$E$4:$L$15,BackEnd!G15,MATCH(F16,Precip!$A$4:$A$11,0))</f>
        <v>Overcast</v>
      </c>
      <c r="G17" s="3" t="str">
        <f>INDEX(Wind!$E$4:$L$15,BackEnd!K15,MATCH(G16,Wind!$A$4:$A$11,0))</f>
        <v>Storm</v>
      </c>
      <c r="H17" s="6" t="s">
        <v>11</v>
      </c>
      <c r="I17" s="6"/>
      <c r="J17" s="9" t="s">
        <v>54</v>
      </c>
      <c r="K17" s="57">
        <f ca="1">RANDBETWEEN(1,99999999)</f>
        <v>28059647</v>
      </c>
      <c r="L17" s="27"/>
      <c r="M17" s="27"/>
      <c r="N17" s="27"/>
      <c r="O17" s="27"/>
      <c r="P17" s="5"/>
      <c r="Q17" s="5"/>
      <c r="R17" s="5"/>
    </row>
    <row r="18" spans="1:18" x14ac:dyDescent="0.3">
      <c r="C18" s="20" t="s">
        <v>22</v>
      </c>
      <c r="E18" s="3" t="str">
        <f>INDEX(Temp!$E$4:$L$15,BackEnd!C16,MATCH(E17,Temp!$A$4:$A$11,0))</f>
        <v>Cold</v>
      </c>
      <c r="F18" s="62" t="str">
        <f>INDEX(Precip!$E$4:$L$15,BackEnd!G16,MATCH(F17,Precip!$A$4:$A$11,0))</f>
        <v>Overcast</v>
      </c>
      <c r="G18" s="3" t="str">
        <f>INDEX(Wind!$E$4:$L$15,BackEnd!K16,MATCH(G17,Wind!$A$4:$A$11,0))</f>
        <v>Gale</v>
      </c>
      <c r="H18" s="6" t="s">
        <v>14</v>
      </c>
      <c r="I18" s="6"/>
      <c r="J18" s="5" t="s">
        <v>40</v>
      </c>
      <c r="K18" s="5"/>
      <c r="L18" s="5"/>
      <c r="M18" s="5"/>
      <c r="N18" s="5"/>
      <c r="O18" s="5"/>
      <c r="P18" s="5"/>
      <c r="Q18" s="5"/>
      <c r="R18" s="5"/>
    </row>
    <row r="19" spans="1:18" x14ac:dyDescent="0.3">
      <c r="A19" s="2">
        <v>9</v>
      </c>
      <c r="B19" s="2" t="str">
        <f>INDEX(weekDays[English],MOD(MATCH(B17,weekDays[English],0),ROWS(weekDays[]))+1)</f>
        <v>Starday</v>
      </c>
      <c r="C19" s="1" t="s">
        <v>43</v>
      </c>
      <c r="E19" s="3" t="str">
        <f>INDEX(Temp!$E$4:$L$15,BackEnd!C17,MATCH(E18,Temp!$A$4:$A$11,0))</f>
        <v>Barely Freezing</v>
      </c>
      <c r="F19" s="62" t="str">
        <f>INDEX(Precip!$E$4:$L$15,BackEnd!G17,MATCH(F18,Precip!$A$4:$A$11,0))</f>
        <v>Mostly Clear</v>
      </c>
      <c r="G19" s="3" t="str">
        <f>INDEX(Wind!$E$4:$L$15,BackEnd!K17,MATCH(G18,Wind!$A$4:$A$11,0))</f>
        <v>Light Gale</v>
      </c>
      <c r="H19" s="6" t="s">
        <v>13</v>
      </c>
      <c r="I19" s="6"/>
      <c r="J19" s="5" t="s">
        <v>34</v>
      </c>
      <c r="K19" s="5"/>
      <c r="L19" s="5"/>
      <c r="M19" s="5"/>
      <c r="N19" s="5"/>
      <c r="O19" s="5"/>
      <c r="P19" s="5"/>
      <c r="Q19" s="5"/>
      <c r="R19" s="5"/>
    </row>
    <row r="20" spans="1:18" x14ac:dyDescent="0.3">
      <c r="A20" s="2"/>
      <c r="C20" s="20" t="s">
        <v>22</v>
      </c>
      <c r="E20" s="3" t="str">
        <f>INDEX(Temp!$E$4:$L$15,BackEnd!C18,MATCH(E19,Temp!$A$4:$A$11,0))</f>
        <v>Barely Freezing</v>
      </c>
      <c r="F20" s="62" t="str">
        <f>INDEX(Precip!$E$4:$L$15,BackEnd!G18,MATCH(F19,Precip!$A$4:$A$11,0))</f>
        <v>Mostly Clear</v>
      </c>
      <c r="G20" s="3" t="str">
        <f>INDEX(Wind!$E$4:$L$15,BackEnd!K18,MATCH(G19,Wind!$A$4:$A$11,0))</f>
        <v>Gale</v>
      </c>
      <c r="H20" s="6"/>
      <c r="I20" s="6"/>
      <c r="J20" s="5"/>
      <c r="K20" s="5"/>
      <c r="L20" s="5"/>
      <c r="M20" s="5"/>
      <c r="N20" s="5"/>
      <c r="O20" s="5"/>
      <c r="P20" s="5"/>
      <c r="Q20" s="5"/>
      <c r="R20" s="5"/>
    </row>
    <row r="21" spans="1:18" x14ac:dyDescent="0.3">
      <c r="A21" s="2">
        <v>10</v>
      </c>
      <c r="B21" s="2" t="str">
        <f>INDEX(weekDays[English],MOD(MATCH(B19,weekDays[English],0),ROWS(weekDays[]))+1)</f>
        <v>Sunday</v>
      </c>
      <c r="C21" s="1" t="s">
        <v>43</v>
      </c>
      <c r="E21" s="3" t="str">
        <f>INDEX(Temp!$E$4:$L$15,BackEnd!C19,MATCH(E20,Temp!$A$4:$A$11,0))</f>
        <v>Chilly</v>
      </c>
      <c r="F21" s="62" t="str">
        <f>INDEX(Precip!$E$4:$L$15,BackEnd!G19,MATCH(F20,Precip!$A$4:$A$11,0))</f>
        <v>Cloudy</v>
      </c>
      <c r="G21" s="3" t="str">
        <f>INDEX(Wind!$E$4:$L$15,BackEnd!K19,MATCH(G20,Wind!$A$4:$A$11,0))</f>
        <v>Gale</v>
      </c>
      <c r="H21" s="7" t="s">
        <v>46</v>
      </c>
      <c r="I21" s="7"/>
      <c r="J21" s="5" t="s">
        <v>41</v>
      </c>
      <c r="K21" s="5"/>
      <c r="L21" s="5"/>
      <c r="M21" s="5"/>
      <c r="N21" s="5"/>
      <c r="O21" s="5"/>
      <c r="P21" s="5"/>
      <c r="Q21" s="5"/>
      <c r="R21" s="5"/>
    </row>
    <row r="22" spans="1:18" x14ac:dyDescent="0.3">
      <c r="A22" s="2"/>
      <c r="C22" s="20" t="s">
        <v>22</v>
      </c>
      <c r="E22" s="3" t="str">
        <f>INDEX(Temp!$E$4:$L$15,BackEnd!C20,MATCH(E21,Temp!$A$4:$A$11,0))</f>
        <v>Chilly</v>
      </c>
      <c r="F22" s="62" t="str">
        <f>INDEX(Precip!$E$4:$L$15,BackEnd!G20,MATCH(F21,Precip!$A$4:$A$11,0))</f>
        <v>Overcast</v>
      </c>
      <c r="G22" s="3" t="str">
        <f>INDEX(Wind!$E$4:$L$15,BackEnd!K20,MATCH(G21,Wind!$A$4:$A$11,0))</f>
        <v>Light Gale</v>
      </c>
      <c r="H22" s="6" t="s">
        <v>15</v>
      </c>
      <c r="I22" s="6"/>
      <c r="J22" s="9" t="s">
        <v>88</v>
      </c>
      <c r="K22" s="5"/>
      <c r="L22" s="5"/>
      <c r="M22" s="5"/>
      <c r="N22" s="5"/>
      <c r="O22" s="5"/>
      <c r="P22" s="5"/>
      <c r="Q22" s="5"/>
      <c r="R22" s="5"/>
    </row>
    <row r="23" spans="1:18" x14ac:dyDescent="0.3">
      <c r="A23" s="2">
        <v>11</v>
      </c>
      <c r="B23" s="2" t="str">
        <f>INDEX(weekDays[English],MOD(MATCH(B21,weekDays[English],0),ROWS(weekDays[]))+1)</f>
        <v>Monday</v>
      </c>
      <c r="C23" s="1" t="s">
        <v>43</v>
      </c>
      <c r="E23" s="3" t="str">
        <f>INDEX(Temp!$E$4:$L$15,BackEnd!C21,MATCH(E22,Temp!$A$4:$A$11,0))</f>
        <v>Barely Freezing</v>
      </c>
      <c r="F23" s="62" t="str">
        <f>INDEX(Precip!$E$4:$L$15,BackEnd!G21,MATCH(F22,Precip!$A$4:$A$11,0))</f>
        <v>Overcast</v>
      </c>
      <c r="G23" s="3" t="str">
        <f>INDEX(Wind!$E$4:$L$15,BackEnd!K21,MATCH(G22,Wind!$A$4:$A$11,0))</f>
        <v>Breeze</v>
      </c>
      <c r="H23" s="6" t="s">
        <v>16</v>
      </c>
      <c r="I23" s="6"/>
      <c r="J23" s="9" t="s">
        <v>32</v>
      </c>
      <c r="K23" s="5"/>
      <c r="L23" s="5"/>
      <c r="M23" s="5"/>
      <c r="N23" s="5"/>
      <c r="O23" s="5"/>
      <c r="P23" s="5"/>
      <c r="Q23" s="5"/>
      <c r="R23" s="5"/>
    </row>
    <row r="24" spans="1:18" x14ac:dyDescent="0.3">
      <c r="C24" s="20" t="s">
        <v>22</v>
      </c>
      <c r="E24" s="3" t="str">
        <f>INDEX(Temp!$E$4:$L$15,BackEnd!C22,MATCH(E23,Temp!$A$4:$A$11,0))</f>
        <v>Barely Freezing</v>
      </c>
      <c r="F24" s="62" t="str">
        <f>INDEX(Precip!$E$4:$L$15,BackEnd!G22,MATCH(F23,Precip!$A$4:$A$11,0))</f>
        <v>Overcast</v>
      </c>
      <c r="G24" s="3" t="str">
        <f>INDEX(Wind!$E$4:$L$15,BackEnd!K22,MATCH(G23,Wind!$A$4:$A$11,0))</f>
        <v>Breeze</v>
      </c>
      <c r="H24" s="6" t="s">
        <v>17</v>
      </c>
      <c r="I24" s="6"/>
      <c r="J24" s="9" t="s">
        <v>39</v>
      </c>
      <c r="K24" s="5"/>
      <c r="L24" s="5"/>
      <c r="M24" s="5"/>
      <c r="N24" s="5"/>
      <c r="O24" s="5"/>
      <c r="P24" s="5"/>
      <c r="Q24" s="5"/>
      <c r="R24" s="5"/>
    </row>
    <row r="25" spans="1:18" x14ac:dyDescent="0.3">
      <c r="A25" s="2">
        <v>12</v>
      </c>
      <c r="B25" s="2" t="str">
        <f>INDEX(weekDays[English],MOD(MATCH(B23,weekDays[English],0),ROWS(weekDays[]))+1)</f>
        <v>Divsday</v>
      </c>
      <c r="C25" s="1" t="s">
        <v>43</v>
      </c>
      <c r="E25" s="3" t="str">
        <f>INDEX(Temp!$E$4:$L$15,BackEnd!C23,MATCH(E24,Temp!$A$4:$A$11,0))</f>
        <v>Barely Freezing</v>
      </c>
      <c r="F25" s="62" t="str">
        <f>INDEX(Precip!$E$4:$L$15,BackEnd!G23,MATCH(F24,Precip!$A$4:$A$11,0))</f>
        <v>Overcast</v>
      </c>
      <c r="G25" s="3" t="str">
        <f>INDEX(Wind!$E$4:$L$15,BackEnd!K23,MATCH(G24,Wind!$A$4:$A$11,0))</f>
        <v>Calm</v>
      </c>
      <c r="H25" s="6" t="s">
        <v>18</v>
      </c>
      <c r="I25" s="6"/>
      <c r="J25" s="9" t="s">
        <v>89</v>
      </c>
      <c r="K25" s="5"/>
      <c r="L25" s="5"/>
      <c r="M25" s="5"/>
      <c r="N25" s="5"/>
      <c r="O25" s="5"/>
      <c r="P25" s="5"/>
      <c r="Q25" s="5"/>
      <c r="R25" s="5"/>
    </row>
    <row r="26" spans="1:18" x14ac:dyDescent="0.3">
      <c r="A26" s="2"/>
      <c r="C26" s="20" t="s">
        <v>22</v>
      </c>
      <c r="E26" s="3" t="str">
        <f>INDEX(Temp!$E$4:$L$15,BackEnd!C24,MATCH(E25,Temp!$A$4:$A$11,0))</f>
        <v>Barely Freezing</v>
      </c>
      <c r="F26" s="62" t="str">
        <f>INDEX(Precip!$E$4:$L$15,BackEnd!G24,MATCH(F25,Precip!$A$4:$A$11,0))</f>
        <v>Drizzle</v>
      </c>
      <c r="G26" s="3" t="str">
        <f>INDEX(Wind!$E$4:$L$15,BackEnd!K24,MATCH(G25,Wind!$A$4:$A$11,0))</f>
        <v>Breeze</v>
      </c>
      <c r="H26" s="6" t="s">
        <v>20</v>
      </c>
      <c r="I26" s="6"/>
      <c r="J26" s="5" t="s">
        <v>33</v>
      </c>
      <c r="K26" s="5"/>
      <c r="L26" s="5"/>
      <c r="M26" s="5"/>
      <c r="N26" s="5"/>
      <c r="O26" s="5"/>
      <c r="P26" s="5"/>
      <c r="Q26" s="5"/>
      <c r="R26" s="5"/>
    </row>
    <row r="27" spans="1:18" x14ac:dyDescent="0.3">
      <c r="A27" s="2">
        <v>13</v>
      </c>
      <c r="B27" s="2" t="str">
        <f>INDEX(weekDays[English],MOD(MATCH(B25,weekDays[English],0),ROWS(weekDays[]))+1)</f>
        <v>Woodsday</v>
      </c>
      <c r="C27" s="1" t="s">
        <v>43</v>
      </c>
      <c r="E27" s="3" t="str">
        <f>INDEX(Temp!$E$4:$L$15,BackEnd!C25,MATCH(E26,Temp!$A$4:$A$11,0))</f>
        <v>Barely Freezing</v>
      </c>
      <c r="F27" s="62" t="str">
        <f>INDEX(Precip!$E$4:$L$15,BackEnd!G25,MATCH(F26,Precip!$A$4:$A$11,0))</f>
        <v>Heavy Fog</v>
      </c>
      <c r="G27" s="3" t="str">
        <f>INDEX(Wind!$E$4:$L$15,BackEnd!K25,MATCH(G26,Wind!$A$4:$A$11,0))</f>
        <v>Light Breeze</v>
      </c>
      <c r="H27" s="6" t="s">
        <v>19</v>
      </c>
      <c r="I27" s="6"/>
      <c r="J27" s="5" t="s">
        <v>90</v>
      </c>
      <c r="K27" s="5"/>
      <c r="L27" s="5"/>
      <c r="M27" s="5"/>
      <c r="N27" s="5"/>
      <c r="O27" s="5"/>
      <c r="P27" s="5"/>
      <c r="Q27" s="5"/>
      <c r="R27" s="5"/>
    </row>
    <row r="28" spans="1:18" x14ac:dyDescent="0.3">
      <c r="A28" s="2"/>
      <c r="C28" s="20" t="s">
        <v>22</v>
      </c>
      <c r="E28" s="3" t="str">
        <f>INDEX(Temp!$E$4:$L$15,BackEnd!C26,MATCH(E27,Temp!$A$4:$A$11,0))</f>
        <v>Frigid</v>
      </c>
      <c r="F28" s="62" t="str">
        <f>INDEX(Precip!$E$4:$L$15,BackEnd!G26,MATCH(F27,Precip!$A$4:$A$11,0))</f>
        <v>Rain</v>
      </c>
      <c r="G28" s="3" t="str">
        <f>INDEX(Wind!$E$4:$L$15,BackEnd!K26,MATCH(G27,Wind!$A$4:$A$11,0))</f>
        <v>Calm</v>
      </c>
      <c r="H28" s="6" t="s">
        <v>21</v>
      </c>
      <c r="I28" s="6"/>
      <c r="J28" s="5" t="s">
        <v>60</v>
      </c>
      <c r="K28" s="5"/>
      <c r="L28" s="5"/>
      <c r="M28" s="5"/>
      <c r="N28" s="5"/>
      <c r="O28" s="5"/>
      <c r="P28" s="5"/>
      <c r="Q28" s="5"/>
      <c r="R28" s="5"/>
    </row>
    <row r="29" spans="1:18" x14ac:dyDescent="0.3">
      <c r="A29" s="2">
        <v>14</v>
      </c>
      <c r="B29" s="2" t="str">
        <f>INDEX(weekDays[English],MOD(MATCH(B27,weekDays[English],0),ROWS(weekDays[]))+1)</f>
        <v>Thunderday</v>
      </c>
      <c r="C29" s="1" t="s">
        <v>43</v>
      </c>
      <c r="E29" s="3" t="str">
        <f>INDEX(Temp!$E$4:$L$15,BackEnd!C27,MATCH(E28,Temp!$A$4:$A$11,0))</f>
        <v>Cold</v>
      </c>
      <c r="F29" s="62" t="str">
        <f>INDEX(Precip!$E$4:$L$15,BackEnd!G27,MATCH(F28,Precip!$A$4:$A$11,0))</f>
        <v>Heavy Rain</v>
      </c>
      <c r="G29" s="3" t="str">
        <f>INDEX(Wind!$E$4:$L$15,BackEnd!K27,MATCH(G28,Wind!$A$4:$A$11,0))</f>
        <v>Light Breeze</v>
      </c>
    </row>
    <row r="30" spans="1:18" x14ac:dyDescent="0.3">
      <c r="C30" s="20" t="s">
        <v>22</v>
      </c>
      <c r="E30" s="3" t="str">
        <f>INDEX(Temp!$E$4:$L$15,BackEnd!C28,MATCH(E29,Temp!$A$4:$A$11,0))</f>
        <v>Cold</v>
      </c>
      <c r="F30" s="62" t="str">
        <f>INDEX(Precip!$E$4:$L$15,BackEnd!G28,MATCH(F29,Precip!$A$4:$A$11,0))</f>
        <v>Rain</v>
      </c>
      <c r="G30" s="3" t="str">
        <f>INDEX(Wind!$E$4:$L$15,BackEnd!K28,MATCH(G29,Wind!$A$4:$A$11,0))</f>
        <v>Light Breeze</v>
      </c>
      <c r="K30" s="3"/>
      <c r="L30" s="3"/>
      <c r="M30" s="3"/>
    </row>
    <row r="31" spans="1:18" x14ac:dyDescent="0.3">
      <c r="A31" s="2">
        <v>15</v>
      </c>
      <c r="B31" s="2" t="str">
        <f>INDEX(weekDays[English],MOD(MATCH(B29,weekDays[English],0),ROWS(weekDays[]))+1)</f>
        <v>Freeday</v>
      </c>
      <c r="C31" s="1" t="s">
        <v>43</v>
      </c>
      <c r="E31" s="3" t="str">
        <f>INDEX(Temp!$E$4:$L$15,BackEnd!C29,MATCH(E30,Temp!$A$4:$A$11,0))</f>
        <v>Barely Freezing</v>
      </c>
      <c r="F31" s="62" t="str">
        <f>INDEX(Precip!$E$4:$L$15,BackEnd!G29,MATCH(F30,Precip!$A$4:$A$11,0))</f>
        <v>Heavy Fog</v>
      </c>
      <c r="G31" s="3" t="str">
        <f>INDEX(Wind!$E$4:$L$15,BackEnd!K29,MATCH(G30,Wind!$A$4:$A$11,0))</f>
        <v>Breeze</v>
      </c>
      <c r="K31" s="3"/>
      <c r="L31" s="3"/>
      <c r="M31" s="3"/>
    </row>
    <row r="32" spans="1:18" x14ac:dyDescent="0.3">
      <c r="A32" s="2"/>
      <c r="C32" s="20" t="s">
        <v>22</v>
      </c>
      <c r="E32" s="3" t="str">
        <f>INDEX(Temp!$E$4:$L$15,BackEnd!C30,MATCH(E31,Temp!$A$4:$A$11,0))</f>
        <v>Barely Freezing</v>
      </c>
      <c r="F32" s="62" t="str">
        <f>INDEX(Precip!$E$4:$L$15,BackEnd!G30,MATCH(F31,Precip!$A$4:$A$11,0))</f>
        <v>Heavy Fog</v>
      </c>
      <c r="G32" s="3" t="str">
        <f>INDEX(Wind!$E$4:$L$15,BackEnd!K30,MATCH(G31,Wind!$A$4:$A$11,0))</f>
        <v>Gusty</v>
      </c>
      <c r="K32" s="3"/>
      <c r="L32" s="3"/>
      <c r="M32" s="3"/>
    </row>
    <row r="33" spans="1:7" x14ac:dyDescent="0.3">
      <c r="A33" s="2">
        <v>16</v>
      </c>
      <c r="B33" s="2" t="str">
        <f>INDEX(weekDays[English],MOD(MATCH(B31,weekDays[English],0),ROWS(weekDays[]))+1)</f>
        <v>Starday</v>
      </c>
      <c r="C33" s="1" t="s">
        <v>43</v>
      </c>
      <c r="E33" s="3" t="str">
        <f>INDEX(Temp!$E$4:$L$15,BackEnd!C31,MATCH(E32,Temp!$A$4:$A$11,0))</f>
        <v>Chilly</v>
      </c>
      <c r="F33" s="62" t="str">
        <f>INDEX(Precip!$E$4:$L$15,BackEnd!G31,MATCH(F32,Precip!$A$4:$A$11,0))</f>
        <v>Heavy Rain</v>
      </c>
      <c r="G33" s="3" t="str">
        <f>INDEX(Wind!$E$4:$L$15,BackEnd!K31,MATCH(G32,Wind!$A$4:$A$11,0))</f>
        <v>Breeze</v>
      </c>
    </row>
    <row r="34" spans="1:7" x14ac:dyDescent="0.3">
      <c r="C34" s="20" t="s">
        <v>22</v>
      </c>
      <c r="E34" s="3" t="str">
        <f>INDEX(Temp!$E$4:$L$15,BackEnd!C32,MATCH(E33,Temp!$A$4:$A$11,0))</f>
        <v>Mild</v>
      </c>
      <c r="F34" s="62" t="str">
        <f>INDEX(Precip!$E$4:$L$15,BackEnd!G32,MATCH(F33,Precip!$A$4:$A$11,0))</f>
        <v>Heavy Fog</v>
      </c>
      <c r="G34" s="3" t="str">
        <f>INDEX(Wind!$E$4:$L$15,BackEnd!K32,MATCH(G33,Wind!$A$4:$A$11,0))</f>
        <v>Gusty</v>
      </c>
    </row>
    <row r="35" spans="1:7" x14ac:dyDescent="0.3">
      <c r="A35" s="2">
        <v>17</v>
      </c>
      <c r="B35" s="2" t="str">
        <f>INDEX(weekDays[English],MOD(MATCH(B33,weekDays[English],0),ROWS(weekDays[]))+1)</f>
        <v>Sunday</v>
      </c>
      <c r="C35" s="1" t="s">
        <v>43</v>
      </c>
      <c r="E35" s="3" t="str">
        <f>INDEX(Temp!$E$4:$L$15,BackEnd!C33,MATCH(E34,Temp!$A$4:$A$11,0))</f>
        <v>Chilly</v>
      </c>
      <c r="F35" s="62" t="str">
        <f>INDEX(Precip!$E$4:$L$15,BackEnd!G33,MATCH(F34,Precip!$A$4:$A$11,0))</f>
        <v>Heavy Fog</v>
      </c>
      <c r="G35" s="3" t="str">
        <f>INDEX(Wind!$E$4:$L$15,BackEnd!K33,MATCH(G34,Wind!$A$4:$A$11,0))</f>
        <v>Light Gale</v>
      </c>
    </row>
    <row r="36" spans="1:7" x14ac:dyDescent="0.3">
      <c r="A36" s="2"/>
      <c r="C36" s="20" t="s">
        <v>22</v>
      </c>
      <c r="E36" s="3" t="str">
        <f>INDEX(Temp!$E$4:$L$15,BackEnd!C34,MATCH(E35,Temp!$A$4:$A$11,0))</f>
        <v>Barely Freezing</v>
      </c>
      <c r="F36" s="62" t="str">
        <f>INDEX(Precip!$E$4:$L$15,BackEnd!G34,MATCH(F35,Precip!$A$4:$A$11,0))</f>
        <v>Heavy Rain</v>
      </c>
      <c r="G36" s="3" t="str">
        <f>INDEX(Wind!$E$4:$L$15,BackEnd!K34,MATCH(G35,Wind!$A$4:$A$11,0))</f>
        <v>Gale</v>
      </c>
    </row>
    <row r="37" spans="1:7" x14ac:dyDescent="0.3">
      <c r="A37" s="2">
        <v>18</v>
      </c>
      <c r="B37" s="2" t="str">
        <f>INDEX(weekDays[English],MOD(MATCH(B35,weekDays[English],0),ROWS(weekDays[]))+1)</f>
        <v>Monday</v>
      </c>
      <c r="C37" s="1" t="s">
        <v>43</v>
      </c>
      <c r="E37" s="3" t="str">
        <f>INDEX(Temp!$E$4:$L$15,BackEnd!C35,MATCH(E36,Temp!$A$4:$A$11,0))</f>
        <v>Barely Freezing</v>
      </c>
      <c r="F37" s="62" t="str">
        <f>INDEX(Precip!$E$4:$L$15,BackEnd!G35,MATCH(F36,Precip!$A$4:$A$11,0))</f>
        <v>Heavy Fog</v>
      </c>
      <c r="G37" s="3" t="str">
        <f>INDEX(Wind!$E$4:$L$15,BackEnd!K35,MATCH(G36,Wind!$A$4:$A$11,0))</f>
        <v>Gusty</v>
      </c>
    </row>
    <row r="38" spans="1:7" x14ac:dyDescent="0.3">
      <c r="C38" s="20" t="s">
        <v>22</v>
      </c>
      <c r="E38" s="3" t="str">
        <f>INDEX(Temp!$E$4:$L$15,BackEnd!C36,MATCH(E37,Temp!$A$4:$A$11,0))</f>
        <v>Barely Freezing</v>
      </c>
      <c r="F38" s="62" t="str">
        <f>INDEX(Precip!$E$4:$L$15,BackEnd!G36,MATCH(F37,Precip!$A$4:$A$11,0))</f>
        <v>Heavy Fog</v>
      </c>
      <c r="G38" s="3" t="str">
        <f>INDEX(Wind!$E$4:$L$15,BackEnd!K36,MATCH(G37,Wind!$A$4:$A$11,0))</f>
        <v>Breeze</v>
      </c>
    </row>
    <row r="39" spans="1:7" x14ac:dyDescent="0.3">
      <c r="A39" s="2">
        <v>19</v>
      </c>
      <c r="B39" s="2" t="str">
        <f>INDEX(weekDays[English],MOD(MATCH(B37,weekDays[English],0),ROWS(weekDays[]))+1)</f>
        <v>Divsday</v>
      </c>
      <c r="C39" s="1" t="s">
        <v>43</v>
      </c>
      <c r="E39" s="3" t="str">
        <f>INDEX(Temp!$E$4:$L$15,BackEnd!C37,MATCH(E38,Temp!$A$4:$A$11,0))</f>
        <v>Chilly</v>
      </c>
      <c r="F39" s="62" t="str">
        <f>INDEX(Precip!$E$4:$L$15,BackEnd!G37,MATCH(F38,Precip!$A$4:$A$11,0))</f>
        <v>Heavy Rain</v>
      </c>
      <c r="G39" s="3" t="str">
        <f>INDEX(Wind!$E$4:$L$15,BackEnd!K37,MATCH(G38,Wind!$A$4:$A$11,0))</f>
        <v>Light Breeze</v>
      </c>
    </row>
    <row r="40" spans="1:7" x14ac:dyDescent="0.3">
      <c r="A40" s="2"/>
      <c r="C40" s="20" t="s">
        <v>22</v>
      </c>
      <c r="E40" s="3" t="str">
        <f>INDEX(Temp!$E$4:$L$15,BackEnd!C38,MATCH(E39,Temp!$A$4:$A$11,0))</f>
        <v>Barely Freezing</v>
      </c>
      <c r="F40" s="62" t="str">
        <f>INDEX(Precip!$E$4:$L$15,BackEnd!G38,MATCH(F39,Precip!$A$4:$A$11,0))</f>
        <v>Heavy Fog</v>
      </c>
      <c r="G40" s="3" t="str">
        <f>INDEX(Wind!$E$4:$L$15,BackEnd!K38,MATCH(G39,Wind!$A$4:$A$11,0))</f>
        <v>Gusty</v>
      </c>
    </row>
    <row r="41" spans="1:7" x14ac:dyDescent="0.3">
      <c r="A41" s="2">
        <v>20</v>
      </c>
      <c r="B41" s="2" t="str">
        <f>INDEX(weekDays[English],MOD(MATCH(B39,weekDays[English],0),ROWS(weekDays[]))+1)</f>
        <v>Woodsday</v>
      </c>
      <c r="C41" s="1" t="s">
        <v>43</v>
      </c>
      <c r="E41" s="3" t="str">
        <f>INDEX(Temp!$E$4:$L$15,BackEnd!C39,MATCH(E40,Temp!$A$4:$A$11,0))</f>
        <v>Chilly</v>
      </c>
      <c r="F41" s="62" t="str">
        <f>INDEX(Precip!$E$4:$L$15,BackEnd!G39,MATCH(F40,Precip!$A$4:$A$11,0))</f>
        <v>Drizzle</v>
      </c>
      <c r="G41" s="3" t="str">
        <f>INDEX(Wind!$E$4:$L$15,BackEnd!K39,MATCH(G40,Wind!$A$4:$A$11,0))</f>
        <v>Gusty</v>
      </c>
    </row>
    <row r="42" spans="1:7" x14ac:dyDescent="0.3">
      <c r="C42" s="20" t="s">
        <v>22</v>
      </c>
      <c r="E42" s="3" t="str">
        <f>INDEX(Temp!$E$4:$L$15,BackEnd!C40,MATCH(E41,Temp!$A$4:$A$11,0))</f>
        <v>Mild</v>
      </c>
      <c r="F42" s="62" t="str">
        <f>INDEX(Precip!$E$4:$L$15,BackEnd!G40,MATCH(F41,Precip!$A$4:$A$11,0))</f>
        <v>Heavy Fog</v>
      </c>
      <c r="G42" s="3" t="str">
        <f>INDEX(Wind!$E$4:$L$15,BackEnd!K40,MATCH(G41,Wind!$A$4:$A$11,0))</f>
        <v>Breeze</v>
      </c>
    </row>
    <row r="43" spans="1:7" x14ac:dyDescent="0.3">
      <c r="A43" s="2">
        <v>21</v>
      </c>
      <c r="B43" s="2" t="str">
        <f>INDEX(weekDays[English],MOD(MATCH(B41,weekDays[English],0),ROWS(weekDays[]))+1)</f>
        <v>Thunderday</v>
      </c>
      <c r="C43" s="1" t="s">
        <v>43</v>
      </c>
      <c r="E43" s="3" t="str">
        <f>INDEX(Temp!$E$4:$L$15,BackEnd!C41,MATCH(E42,Temp!$A$4:$A$11,0))</f>
        <v>Mild</v>
      </c>
      <c r="F43" s="62" t="str">
        <f>INDEX(Precip!$E$4:$L$15,BackEnd!G41,MATCH(F42,Precip!$A$4:$A$11,0))</f>
        <v>Drizzle</v>
      </c>
      <c r="G43" s="3" t="str">
        <f>INDEX(Wind!$E$4:$L$15,BackEnd!K41,MATCH(G42,Wind!$A$4:$A$11,0))</f>
        <v>Breeze</v>
      </c>
    </row>
    <row r="44" spans="1:7" x14ac:dyDescent="0.3">
      <c r="A44" s="2"/>
      <c r="C44" s="20" t="s">
        <v>22</v>
      </c>
      <c r="E44" s="3" t="str">
        <f>INDEX(Temp!$E$4:$L$15,BackEnd!C42,MATCH(E43,Temp!$A$4:$A$11,0))</f>
        <v>Mild</v>
      </c>
      <c r="F44" s="62" t="str">
        <f>INDEX(Precip!$E$4:$L$15,BackEnd!G42,MATCH(F43,Precip!$A$4:$A$11,0))</f>
        <v>Heavy Fog</v>
      </c>
      <c r="G44" s="3" t="str">
        <f>INDEX(Wind!$E$4:$L$15,BackEnd!K42,MATCH(G43,Wind!$A$4:$A$11,0))</f>
        <v>Breeze</v>
      </c>
    </row>
    <row r="45" spans="1:7" x14ac:dyDescent="0.3">
      <c r="A45" s="2">
        <v>22</v>
      </c>
      <c r="B45" s="2" t="str">
        <f>INDEX(weekDays[English],MOD(MATCH(B43,weekDays[English],0),ROWS(weekDays[]))+1)</f>
        <v>Freeday</v>
      </c>
      <c r="C45" s="1" t="s">
        <v>43</v>
      </c>
      <c r="E45" s="3" t="str">
        <f>INDEX(Temp!$E$4:$L$15,BackEnd!C43,MATCH(E44,Temp!$A$4:$A$11,0))</f>
        <v>Mild</v>
      </c>
      <c r="F45" s="62" t="str">
        <f>INDEX(Precip!$E$4:$L$15,BackEnd!G43,MATCH(F44,Precip!$A$4:$A$11,0))</f>
        <v>Heavy Fog</v>
      </c>
      <c r="G45" s="3" t="str">
        <f>INDEX(Wind!$E$4:$L$15,BackEnd!K43,MATCH(G44,Wind!$A$4:$A$11,0))</f>
        <v>Breeze</v>
      </c>
    </row>
    <row r="46" spans="1:7" x14ac:dyDescent="0.3">
      <c r="C46" s="20" t="s">
        <v>22</v>
      </c>
      <c r="E46" s="3" t="str">
        <f>INDEX(Temp!$E$4:$L$15,BackEnd!C44,MATCH(E45,Temp!$A$4:$A$11,0))</f>
        <v>Chilly</v>
      </c>
      <c r="F46" s="62" t="str">
        <f>INDEX(Precip!$E$4:$L$15,BackEnd!G44,MATCH(F45,Precip!$A$4:$A$11,0))</f>
        <v>Drizzle</v>
      </c>
      <c r="G46" s="3" t="str">
        <f>INDEX(Wind!$E$4:$L$15,BackEnd!K44,MATCH(G45,Wind!$A$4:$A$11,0))</f>
        <v>Breeze</v>
      </c>
    </row>
    <row r="47" spans="1:7" x14ac:dyDescent="0.3">
      <c r="A47" s="2">
        <v>23</v>
      </c>
      <c r="B47" s="2" t="str">
        <f>INDEX(weekDays[English],MOD(MATCH(B45,weekDays[English],0),ROWS(weekDays[]))+1)</f>
        <v>Starday</v>
      </c>
      <c r="C47" s="1" t="s">
        <v>43</v>
      </c>
      <c r="E47" s="3" t="str">
        <f>INDEX(Temp!$E$4:$L$15,BackEnd!C45,MATCH(E46,Temp!$A$4:$A$11,0))</f>
        <v>Barely Freezing</v>
      </c>
      <c r="F47" s="62" t="str">
        <f>INDEX(Precip!$E$4:$L$15,BackEnd!G45,MATCH(F46,Precip!$A$4:$A$11,0))</f>
        <v>Overcast</v>
      </c>
      <c r="G47" s="3" t="str">
        <f>INDEX(Wind!$E$4:$L$15,BackEnd!K45,MATCH(G46,Wind!$A$4:$A$11,0))</f>
        <v>Gusty</v>
      </c>
    </row>
    <row r="48" spans="1:7" x14ac:dyDescent="0.3">
      <c r="A48" s="2"/>
      <c r="C48" s="20" t="s">
        <v>22</v>
      </c>
      <c r="E48" s="3" t="str">
        <f>INDEX(Temp!$E$4:$L$15,BackEnd!C46,MATCH(E47,Temp!$A$4:$A$11,0))</f>
        <v>Cold</v>
      </c>
      <c r="F48" s="62" t="str">
        <f>INDEX(Precip!$E$4:$L$15,BackEnd!G46,MATCH(F47,Precip!$A$4:$A$11,0))</f>
        <v>Drizzle</v>
      </c>
      <c r="G48" s="3" t="str">
        <f>INDEX(Wind!$E$4:$L$15,BackEnd!K46,MATCH(G47,Wind!$A$4:$A$11,0))</f>
        <v>Light Gale</v>
      </c>
    </row>
    <row r="49" spans="1:7" x14ac:dyDescent="0.3">
      <c r="A49" s="2">
        <v>24</v>
      </c>
      <c r="B49" s="2" t="str">
        <f>INDEX(weekDays[English],MOD(MATCH(B47,weekDays[English],0),ROWS(weekDays[]))+1)</f>
        <v>Sunday</v>
      </c>
      <c r="C49" s="1" t="s">
        <v>43</v>
      </c>
      <c r="E49" s="3" t="str">
        <f>INDEX(Temp!$E$4:$L$15,BackEnd!C47,MATCH(E48,Temp!$A$4:$A$11,0))</f>
        <v>Cold</v>
      </c>
      <c r="F49" s="62" t="str">
        <f>INDEX(Precip!$E$4:$L$15,BackEnd!G47,MATCH(F48,Precip!$A$4:$A$11,0))</f>
        <v>Heavy Fog</v>
      </c>
      <c r="G49" s="3" t="str">
        <f>INDEX(Wind!$E$4:$L$15,BackEnd!K47,MATCH(G48,Wind!$A$4:$A$11,0))</f>
        <v>Gale</v>
      </c>
    </row>
    <row r="50" spans="1:7" x14ac:dyDescent="0.3">
      <c r="C50" s="20" t="s">
        <v>22</v>
      </c>
      <c r="E50" s="3" t="str">
        <f>INDEX(Temp!$E$4:$L$15,BackEnd!C48,MATCH(E49,Temp!$A$4:$A$11,0))</f>
        <v>Chilly</v>
      </c>
      <c r="F50" s="62" t="str">
        <f>INDEX(Precip!$E$4:$L$15,BackEnd!G48,MATCH(F49,Precip!$A$4:$A$11,0))</f>
        <v>Drizzle</v>
      </c>
      <c r="G50" s="3" t="str">
        <f>INDEX(Wind!$E$4:$L$15,BackEnd!K48,MATCH(G49,Wind!$A$4:$A$11,0))</f>
        <v>Gale</v>
      </c>
    </row>
    <row r="51" spans="1:7" x14ac:dyDescent="0.3">
      <c r="A51" s="2">
        <v>25</v>
      </c>
      <c r="B51" s="2" t="str">
        <f>INDEX(weekDays[English],MOD(MATCH(B49,weekDays[English],0),ROWS(weekDays[]))+1)</f>
        <v>Monday</v>
      </c>
      <c r="C51" s="1" t="s">
        <v>43</v>
      </c>
      <c r="E51" s="3" t="str">
        <f>INDEX(Temp!$E$4:$L$15,BackEnd!C49,MATCH(E50,Temp!$A$4:$A$11,0))</f>
        <v>Chilly</v>
      </c>
      <c r="F51" s="62" t="str">
        <f>INDEX(Precip!$E$4:$L$15,BackEnd!G49,MATCH(F50,Precip!$A$4:$A$11,0))</f>
        <v>Overcast</v>
      </c>
      <c r="G51" s="3" t="str">
        <f>INDEX(Wind!$E$4:$L$15,BackEnd!K49,MATCH(G50,Wind!$A$4:$A$11,0))</f>
        <v>Light Gale</v>
      </c>
    </row>
    <row r="52" spans="1:7" x14ac:dyDescent="0.3">
      <c r="A52" s="2"/>
      <c r="C52" s="20" t="s">
        <v>22</v>
      </c>
      <c r="E52" s="3" t="str">
        <f>INDEX(Temp!$E$4:$L$15,BackEnd!C50,MATCH(E51,Temp!$A$4:$A$11,0))</f>
        <v>Chilly</v>
      </c>
      <c r="F52" s="62" t="str">
        <f>INDEX(Precip!$E$4:$L$15,BackEnd!G50,MATCH(F51,Precip!$A$4:$A$11,0))</f>
        <v>Heavy Fog</v>
      </c>
      <c r="G52" s="3" t="str">
        <f>INDEX(Wind!$E$4:$L$15,BackEnd!K50,MATCH(G51,Wind!$A$4:$A$11,0))</f>
        <v>Breeze</v>
      </c>
    </row>
    <row r="53" spans="1:7" x14ac:dyDescent="0.3">
      <c r="A53" s="2">
        <v>26</v>
      </c>
      <c r="B53" s="2" t="str">
        <f>INDEX(weekDays[English],MOD(MATCH(B51,weekDays[English],0),ROWS(weekDays[]))+1)</f>
        <v>Divsday</v>
      </c>
      <c r="C53" s="1" t="s">
        <v>43</v>
      </c>
      <c r="E53" s="3" t="str">
        <f>INDEX(Temp!$E$4:$L$15,BackEnd!C51,MATCH(E52,Temp!$A$4:$A$11,0))</f>
        <v>Warm</v>
      </c>
      <c r="F53" s="62" t="str">
        <f>INDEX(Precip!$E$4:$L$15,BackEnd!G51,MATCH(F52,Precip!$A$4:$A$11,0))</f>
        <v>Drizzle</v>
      </c>
      <c r="G53" s="3" t="str">
        <f>INDEX(Wind!$E$4:$L$15,BackEnd!K51,MATCH(G52,Wind!$A$4:$A$11,0))</f>
        <v>Calm</v>
      </c>
    </row>
    <row r="54" spans="1:7" x14ac:dyDescent="0.3">
      <c r="C54" s="20" t="s">
        <v>22</v>
      </c>
      <c r="E54" s="3" t="str">
        <f>INDEX(Temp!$E$4:$L$15,BackEnd!C52,MATCH(E53,Temp!$A$4:$A$11,0))</f>
        <v>Scorching</v>
      </c>
      <c r="F54" s="62" t="str">
        <f>INDEX(Precip!$E$4:$L$15,BackEnd!G52,MATCH(F53,Precip!$A$4:$A$11,0))</f>
        <v>Cloudy</v>
      </c>
      <c r="G54" s="3" t="str">
        <f>INDEX(Wind!$E$4:$L$15,BackEnd!K52,MATCH(G53,Wind!$A$4:$A$11,0))</f>
        <v>Light Breeze</v>
      </c>
    </row>
    <row r="55" spans="1:7" x14ac:dyDescent="0.3">
      <c r="A55" s="2">
        <v>27</v>
      </c>
      <c r="B55" s="2" t="str">
        <f>INDEX(weekDays[English],MOD(MATCH(B53,weekDays[English],0),ROWS(weekDays[]))+1)</f>
        <v>Woodsday</v>
      </c>
      <c r="C55" s="1" t="s">
        <v>43</v>
      </c>
      <c r="E55" s="3" t="str">
        <f>INDEX(Temp!$E$4:$L$15,BackEnd!C53,MATCH(E54,Temp!$A$4:$A$11,0))</f>
        <v>Hot</v>
      </c>
      <c r="F55" s="62" t="str">
        <f>INDEX(Precip!$E$4:$L$15,BackEnd!G53,MATCH(F54,Precip!$A$4:$A$11,0))</f>
        <v>Overcast</v>
      </c>
      <c r="G55" s="3" t="str">
        <f>INDEX(Wind!$E$4:$L$15,BackEnd!K53,MATCH(G54,Wind!$A$4:$A$11,0))</f>
        <v>Calm</v>
      </c>
    </row>
    <row r="56" spans="1:7" x14ac:dyDescent="0.3">
      <c r="A56" s="2"/>
      <c r="C56" s="20" t="s">
        <v>22</v>
      </c>
      <c r="E56" s="3" t="str">
        <f>INDEX(Temp!$E$4:$L$15,BackEnd!C54,MATCH(E55,Temp!$A$4:$A$11,0))</f>
        <v>Hot</v>
      </c>
      <c r="F56" s="62" t="str">
        <f>INDEX(Precip!$E$4:$L$15,BackEnd!G54,MATCH(F55,Precip!$A$4:$A$11,0))</f>
        <v>Mostly Clear</v>
      </c>
      <c r="G56" s="3" t="str">
        <f>INDEX(Wind!$E$4:$L$15,BackEnd!K54,MATCH(G55,Wind!$A$4:$A$11,0))</f>
        <v>Light Breeze</v>
      </c>
    </row>
    <row r="57" spans="1:7" x14ac:dyDescent="0.3">
      <c r="A57" s="2">
        <v>28</v>
      </c>
      <c r="B57" s="2" t="str">
        <f>INDEX(weekDays[English],MOD(MATCH(B55,weekDays[English],0),ROWS(weekDays[]))+1)</f>
        <v>Thunderday</v>
      </c>
      <c r="C57" s="1" t="s">
        <v>43</v>
      </c>
      <c r="E57" s="3" t="str">
        <f>INDEX(Temp!$E$4:$L$15,BackEnd!C55,MATCH(E56,Temp!$A$4:$A$11,0))</f>
        <v>Scorching</v>
      </c>
      <c r="F57" s="62" t="str">
        <f>INDEX(Precip!$E$4:$L$15,BackEnd!G55,MATCH(F56,Precip!$A$4:$A$11,0))</f>
        <v>Mostly Clear</v>
      </c>
      <c r="G57" s="3" t="str">
        <f>INDEX(Wind!$E$4:$L$15,BackEnd!K55,MATCH(G56,Wind!$A$4:$A$11,0))</f>
        <v>Breeze</v>
      </c>
    </row>
    <row r="58" spans="1:7" x14ac:dyDescent="0.3">
      <c r="C58" s="20" t="s">
        <v>22</v>
      </c>
      <c r="E58" s="3" t="str">
        <f>INDEX(Temp!$E$4:$L$15,BackEnd!C56,MATCH(E57,Temp!$A$4:$A$11,0))</f>
        <v>Hot</v>
      </c>
      <c r="F58" s="62" t="str">
        <f>INDEX(Precip!$E$4:$L$15,BackEnd!G56,MATCH(F57,Precip!$A$4:$A$11,0))</f>
        <v>Clear</v>
      </c>
      <c r="G58" s="3" t="str">
        <f>INDEX(Wind!$E$4:$L$15,BackEnd!K56,MATCH(G57,Wind!$A$4:$A$11,0))</f>
        <v>Gusty</v>
      </c>
    </row>
    <row r="59" spans="1:7" x14ac:dyDescent="0.3">
      <c r="A59" s="2"/>
      <c r="B59" s="2"/>
      <c r="E59" s="3"/>
    </row>
    <row r="60" spans="1:7" x14ac:dyDescent="0.3">
      <c r="A60" s="2"/>
    </row>
    <row r="61" spans="1:7" x14ac:dyDescent="0.3">
      <c r="A61" s="2"/>
      <c r="B61" s="2"/>
    </row>
  </sheetData>
  <mergeCells count="1">
    <mergeCell ref="K14:L14"/>
  </mergeCells>
  <conditionalFormatting sqref="F3:F58">
    <cfRule type="containsText" dxfId="35" priority="11" operator="containsText" text="Drizzle">
      <formula>NOT(ISERROR(SEARCH("Drizzle",F3)))</formula>
    </cfRule>
    <cfRule type="containsText" dxfId="34" priority="12" operator="containsText" text="Heavy Fog">
      <formula>NOT(ISERROR(SEARCH("Heavy Fog",F3)))</formula>
    </cfRule>
    <cfRule type="containsText" dxfId="33" priority="13" operator="containsText" text="Heavy Fog">
      <formula>NOT(ISERROR(SEARCH("Heavy Fog",F3)))</formula>
    </cfRule>
    <cfRule type="containsText" dxfId="32" priority="14" operator="containsText" text="Rain">
      <formula>NOT(ISERROR(SEARCH("Rain",F3)))</formula>
    </cfRule>
    <cfRule type="containsText" dxfId="31" priority="15" operator="containsText" text="Heavy Rain">
      <formula>NOT(ISERROR(SEARCH("Heavy Rain",F3)))</formula>
    </cfRule>
  </conditionalFormatting>
  <conditionalFormatting sqref="G4:G58">
    <cfRule type="containsText" dxfId="30" priority="4" operator="containsText" text="Gale">
      <formula>NOT(ISERROR(SEARCH("Gale",G4)))</formula>
    </cfRule>
    <cfRule type="containsText" dxfId="29" priority="6" operator="containsText" text="Storm">
      <formula>NOT(ISERROR(SEARCH("Storm",G4)))</formula>
    </cfRule>
    <cfRule type="containsText" dxfId="28" priority="10" operator="containsText" text="Vortex">
      <formula>NOT(ISERROR(SEARCH("Vortex",G4)))</formula>
    </cfRule>
  </conditionalFormatting>
  <conditionalFormatting sqref="E2:E59">
    <cfRule type="containsText" dxfId="27" priority="5" operator="containsText" text="Scorching">
      <formula>NOT(ISERROR(SEARCH("Scorching",E2)))</formula>
    </cfRule>
    <cfRule type="containsText" dxfId="26" priority="7" operator="containsText" text="Freezing">
      <formula>NOT(ISERROR(SEARCH("Freezing",E2)))</formula>
    </cfRule>
    <cfRule type="containsText" dxfId="25" priority="8" operator="containsText" text="Cold">
      <formula>NOT(ISERROR(SEARCH("Cold",E2)))</formula>
    </cfRule>
    <cfRule type="containsText" dxfId="24" priority="9" operator="containsText" text="Frigid">
      <formula>NOT(ISERROR(SEARCH("Frigid",E2)))</formula>
    </cfRule>
  </conditionalFormatting>
  <conditionalFormatting sqref="F3:G3 F4:F58">
    <cfRule type="containsText" dxfId="23" priority="1" operator="containsText" text="Gale">
      <formula>NOT(ISERROR(SEARCH("Gale",F3)))</formula>
    </cfRule>
    <cfRule type="containsText" dxfId="22" priority="2" operator="containsText" text="Storm">
      <formula>NOT(ISERROR(SEARCH("Storm",F3)))</formula>
    </cfRule>
    <cfRule type="containsText" dxfId="21" priority="3" operator="containsText" text="Vortex">
      <formula>NOT(ISERROR(SEARCH("Vortex",F3)))</formula>
    </cfRule>
  </conditionalFormatting>
  <dataValidations count="3">
    <dataValidation type="list" allowBlank="1" showInputMessage="1" showErrorMessage="1" sqref="K14:L14" xr:uid="{98292637-570C-4B1E-895E-712F171E8B83}">
      <formula1>tempNames</formula1>
    </dataValidation>
    <dataValidation type="list" allowBlank="1" showInputMessage="1" showErrorMessage="1" sqref="N14" xr:uid="{0727662A-C47E-4AF5-ABC0-16C4A8D0B96C}">
      <formula1>windNames</formula1>
    </dataValidation>
    <dataValidation type="list" allowBlank="1" showInputMessage="1" showErrorMessage="1" sqref="M14" xr:uid="{C9C29EC4-C395-46B9-9685-6A2628426F11}">
      <formula1>precipNames</formula1>
    </dataValidation>
  </dataValidation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showInputMessage="1" showErrorMessage="1" xr:uid="{E349AF11-E197-481B-8C71-6841D1A40478}">
          <x14:formula1>
            <xm:f>Temp!$A$2:$A$11</xm:f>
          </x14:formula1>
          <xm:sqref>E3</xm:sqref>
        </x14:dataValidation>
        <x14:dataValidation type="list" allowBlank="1" showInputMessage="1" showErrorMessage="1" xr:uid="{455812FA-36F9-4EC8-A94A-9CA8EE8AD34A}">
          <x14:formula1>
            <xm:f>Precip!$A$2:$A$11</xm:f>
          </x14:formula1>
          <xm:sqref>F3</xm:sqref>
        </x14:dataValidation>
        <x14:dataValidation type="list" allowBlank="1" showInputMessage="1" showErrorMessage="1" xr:uid="{5A375787-0648-4B7F-91B3-72B01BD16F4C}">
          <x14:formula1>
            <xm:f>Wind!$A$2:$A$11</xm:f>
          </x14:formula1>
          <xm:sqref>G3</xm:sqref>
        </x14:dataValidation>
        <x14:dataValidation type="list" allowBlank="1" showInputMessage="1" showErrorMessage="1" xr:uid="{B582ABED-0E2C-4854-BB22-37D39B1C02B7}">
          <x14:formula1>
            <xm:f>Days!$B$1:$B$10</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189-C66E-4385-953B-4EA82F0F1A11}">
  <sheetPr codeName="Sheet2"/>
  <dimension ref="A1:T26"/>
  <sheetViews>
    <sheetView showGridLines="0" zoomScaleNormal="100" workbookViewId="0">
      <selection activeCell="J5" sqref="J5"/>
    </sheetView>
  </sheetViews>
  <sheetFormatPr defaultRowHeight="14.4" x14ac:dyDescent="0.3"/>
  <cols>
    <col min="2" max="2" width="25.33203125" customWidth="1"/>
    <col min="3" max="3" width="12.109375" customWidth="1"/>
    <col min="4" max="4" width="5.21875" customWidth="1"/>
    <col min="5" max="5" width="6.88671875" customWidth="1"/>
    <col min="6" max="6" width="10.5546875" customWidth="1"/>
    <col min="7" max="7" width="9.109375" customWidth="1"/>
  </cols>
  <sheetData>
    <row r="1" spans="1:20" ht="15" thickBot="1" x14ac:dyDescent="0.35"/>
    <row r="2" spans="1:20" ht="15.6" x14ac:dyDescent="0.3">
      <c r="B2" t="s">
        <v>112</v>
      </c>
      <c r="C2" s="43">
        <v>2</v>
      </c>
      <c r="E2" s="67" t="s">
        <v>116</v>
      </c>
      <c r="F2" s="68"/>
    </row>
    <row r="3" spans="1:20" ht="15.6" x14ac:dyDescent="0.3">
      <c r="B3" t="s">
        <v>113</v>
      </c>
      <c r="C3">
        <v>0</v>
      </c>
      <c r="E3" s="47" t="s">
        <v>92</v>
      </c>
      <c r="F3" s="46" t="s">
        <v>93</v>
      </c>
    </row>
    <row r="4" spans="1:20" ht="15.6" x14ac:dyDescent="0.3">
      <c r="B4" t="s">
        <v>114</v>
      </c>
      <c r="C4">
        <v>4</v>
      </c>
      <c r="E4" s="44">
        <v>1</v>
      </c>
      <c r="F4" s="48" t="str">
        <f>IFERROR(INDEX('Encounter chances'!$H$7:'Encounter chances'!$T$26,ROW('Encounter chances'!H13)-6-$C$4+$C$5,$C$3+$C$2+1), "Nothing.")</f>
        <v>Encounter</v>
      </c>
      <c r="G4" t="s">
        <v>117</v>
      </c>
    </row>
    <row r="5" spans="1:20" ht="15.6" x14ac:dyDescent="0.3">
      <c r="B5" s="65" t="s">
        <v>102</v>
      </c>
      <c r="C5" s="25" t="b">
        <v>0</v>
      </c>
      <c r="E5" s="44">
        <v>2</v>
      </c>
      <c r="F5" s="48" t="str">
        <f>IFERROR(INDEX('Encounter chances'!$H$7:'Encounter chances'!$T$26,ROW('Encounter chances'!H14)-6-$C$4+$C$5,$C$3+$C$2+1), "Nothing.")</f>
        <v>Encounter</v>
      </c>
      <c r="H5">
        <v>0</v>
      </c>
      <c r="I5">
        <v>1</v>
      </c>
      <c r="J5">
        <v>2</v>
      </c>
      <c r="K5">
        <v>3</v>
      </c>
      <c r="L5">
        <v>4</v>
      </c>
      <c r="M5">
        <v>5</v>
      </c>
      <c r="N5">
        <v>6</v>
      </c>
      <c r="O5">
        <v>7</v>
      </c>
      <c r="P5">
        <v>8</v>
      </c>
      <c r="Q5">
        <v>9</v>
      </c>
      <c r="R5">
        <v>10</v>
      </c>
      <c r="S5">
        <v>11</v>
      </c>
      <c r="T5">
        <v>12</v>
      </c>
    </row>
    <row r="6" spans="1:20" ht="15.6" x14ac:dyDescent="0.3">
      <c r="B6" s="65"/>
      <c r="E6" s="44">
        <v>3</v>
      </c>
      <c r="F6" s="48" t="str">
        <f>IFERROR(INDEX('Encounter chances'!$H$7:'Encounter chances'!$T$26,ROW('Encounter chances'!H15)-6-$C$4+$C$5,$C$3+$C$2+1), "Nothing.")</f>
        <v>Encounter</v>
      </c>
    </row>
    <row r="7" spans="1:20" ht="15.6" x14ac:dyDescent="0.3">
      <c r="E7" s="44">
        <v>4</v>
      </c>
      <c r="F7" s="48" t="str">
        <f>IFERROR(INDEX('Encounter chances'!$H$7:'Encounter chances'!$T$26,ROW('Encounter chances'!H16)-6-$C$4+$C$5,$C$3+$C$2+1), "Nothing.")</f>
        <v>Encounter</v>
      </c>
      <c r="G7">
        <v>-8</v>
      </c>
      <c r="H7" t="s">
        <v>94</v>
      </c>
      <c r="I7" t="s">
        <v>94</v>
      </c>
      <c r="J7" t="s">
        <v>94</v>
      </c>
      <c r="K7" t="s">
        <v>94</v>
      </c>
      <c r="L7" t="s">
        <v>94</v>
      </c>
      <c r="M7" t="s">
        <v>94</v>
      </c>
      <c r="N7" t="s">
        <v>94</v>
      </c>
      <c r="O7" t="s">
        <v>94</v>
      </c>
      <c r="P7" t="s">
        <v>94</v>
      </c>
      <c r="Q7" t="s">
        <v>94</v>
      </c>
      <c r="R7" t="s">
        <v>94</v>
      </c>
      <c r="S7" t="s">
        <v>94</v>
      </c>
      <c r="T7" t="s">
        <v>94</v>
      </c>
    </row>
    <row r="8" spans="1:20" ht="15.6" x14ac:dyDescent="0.3">
      <c r="A8" s="66" t="s">
        <v>118</v>
      </c>
      <c r="B8" s="66"/>
      <c r="C8" s="66"/>
      <c r="E8" s="44">
        <v>5</v>
      </c>
      <c r="F8" s="48" t="str">
        <f>IFERROR(INDEX('Encounter chances'!$H$7:'Encounter chances'!$T$26,ROW('Encounter chances'!H17)-6-$C$4+$C$5,$C$3+$C$2+1), "Nothing.")</f>
        <v>Lair</v>
      </c>
      <c r="G8">
        <v>-7</v>
      </c>
      <c r="H8" t="s">
        <v>94</v>
      </c>
      <c r="I8" t="s">
        <v>94</v>
      </c>
      <c r="J8" t="s">
        <v>94</v>
      </c>
      <c r="K8" t="s">
        <v>94</v>
      </c>
      <c r="L8" t="s">
        <v>94</v>
      </c>
      <c r="M8" t="s">
        <v>94</v>
      </c>
      <c r="N8" t="s">
        <v>94</v>
      </c>
      <c r="O8" t="s">
        <v>94</v>
      </c>
      <c r="P8" t="s">
        <v>94</v>
      </c>
      <c r="Q8" t="s">
        <v>94</v>
      </c>
      <c r="R8" t="s">
        <v>94</v>
      </c>
      <c r="S8" t="s">
        <v>94</v>
      </c>
      <c r="T8" t="s">
        <v>94</v>
      </c>
    </row>
    <row r="9" spans="1:20" ht="15.6" x14ac:dyDescent="0.3">
      <c r="A9" s="66"/>
      <c r="B9" s="66"/>
      <c r="C9" s="66"/>
      <c r="E9" s="44">
        <v>6</v>
      </c>
      <c r="F9" s="48" t="str">
        <f>IFERROR(INDEX('Encounter chances'!$H$7:'Encounter chances'!$T$26,ROW('Encounter chances'!H18)-6-$C$4+$C$5,$C$3+$C$2+1), "Nothing.")</f>
        <v>Encounter</v>
      </c>
      <c r="G9">
        <v>-6</v>
      </c>
      <c r="H9" t="s">
        <v>94</v>
      </c>
      <c r="I9" t="s">
        <v>94</v>
      </c>
      <c r="J9" t="s">
        <v>94</v>
      </c>
      <c r="K9" t="s">
        <v>94</v>
      </c>
      <c r="L9" t="s">
        <v>94</v>
      </c>
      <c r="M9" t="s">
        <v>94</v>
      </c>
      <c r="N9" t="s">
        <v>94</v>
      </c>
      <c r="O9" t="s">
        <v>94</v>
      </c>
      <c r="P9" t="s">
        <v>94</v>
      </c>
      <c r="Q9" t="s">
        <v>94</v>
      </c>
      <c r="R9" t="s">
        <v>94</v>
      </c>
      <c r="S9" t="s">
        <v>94</v>
      </c>
      <c r="T9" t="s">
        <v>94</v>
      </c>
    </row>
    <row r="10" spans="1:20" ht="15.6" x14ac:dyDescent="0.3">
      <c r="A10" s="66"/>
      <c r="B10" s="66"/>
      <c r="C10" s="66"/>
      <c r="E10" s="44">
        <v>7</v>
      </c>
      <c r="F10" s="48" t="str">
        <f>IFERROR(INDEX('Encounter chances'!$H$7:'Encounter chances'!$T$26,ROW('Encounter chances'!H19)-6-$C$4+$C$5,$C$3+$C$2+1), "Nothing.")</f>
        <v>Noises</v>
      </c>
      <c r="G10">
        <v>-5</v>
      </c>
      <c r="H10" t="s">
        <v>94</v>
      </c>
      <c r="I10" t="s">
        <v>94</v>
      </c>
      <c r="J10" t="s">
        <v>94</v>
      </c>
      <c r="K10" t="s">
        <v>94</v>
      </c>
      <c r="L10" t="s">
        <v>94</v>
      </c>
      <c r="M10" t="s">
        <v>94</v>
      </c>
      <c r="N10" t="s">
        <v>94</v>
      </c>
      <c r="O10" t="s">
        <v>94</v>
      </c>
      <c r="P10" t="s">
        <v>94</v>
      </c>
      <c r="Q10" t="s">
        <v>94</v>
      </c>
      <c r="R10" t="s">
        <v>94</v>
      </c>
      <c r="S10" t="s">
        <v>94</v>
      </c>
      <c r="T10" t="s">
        <v>94</v>
      </c>
    </row>
    <row r="11" spans="1:20" ht="15.6" x14ac:dyDescent="0.3">
      <c r="A11" s="66"/>
      <c r="B11" s="66"/>
      <c r="C11" s="66"/>
      <c r="E11" s="44">
        <v>8</v>
      </c>
      <c r="F11" s="48" t="str">
        <f>IFERROR(INDEX('Encounter chances'!$H$7:'Encounter chances'!$T$26,ROW('Encounter chances'!H20)-6-$C$4+$C$5,$C$3+$C$2+1), "Nothing.")</f>
        <v>Waste</v>
      </c>
      <c r="G11">
        <v>-4</v>
      </c>
      <c r="H11" t="s">
        <v>94</v>
      </c>
      <c r="I11" t="s">
        <v>94</v>
      </c>
      <c r="J11" t="s">
        <v>94</v>
      </c>
      <c r="K11" t="s">
        <v>94</v>
      </c>
      <c r="L11" t="s">
        <v>94</v>
      </c>
      <c r="M11" t="s">
        <v>94</v>
      </c>
      <c r="N11" t="s">
        <v>94</v>
      </c>
      <c r="O11" t="s">
        <v>94</v>
      </c>
      <c r="P11" t="s">
        <v>94</v>
      </c>
      <c r="Q11" t="s">
        <v>94</v>
      </c>
      <c r="R11" t="s">
        <v>94</v>
      </c>
      <c r="S11" t="s">
        <v>94</v>
      </c>
      <c r="T11" t="s">
        <v>94</v>
      </c>
    </row>
    <row r="12" spans="1:20" ht="15.6" x14ac:dyDescent="0.3">
      <c r="A12" s="66"/>
      <c r="B12" s="66"/>
      <c r="C12" s="66"/>
      <c r="E12" s="44">
        <v>9</v>
      </c>
      <c r="F12" s="48" t="str">
        <f>IFERROR(INDEX('Encounter chances'!$H$7:'Encounter chances'!$T$26,ROW('Encounter chances'!H21)-6-$C$4+$C$5,$C$3+$C$2+1), "Nothing.")</f>
        <v>Tracks</v>
      </c>
      <c r="G12">
        <v>-3</v>
      </c>
      <c r="H12" t="s">
        <v>94</v>
      </c>
      <c r="I12" t="s">
        <v>94</v>
      </c>
      <c r="J12" t="s">
        <v>94</v>
      </c>
      <c r="K12" t="s">
        <v>94</v>
      </c>
      <c r="L12" t="s">
        <v>94</v>
      </c>
      <c r="M12" t="s">
        <v>94</v>
      </c>
      <c r="N12" t="s">
        <v>94</v>
      </c>
      <c r="O12" t="s">
        <v>94</v>
      </c>
      <c r="P12" t="s">
        <v>94</v>
      </c>
      <c r="Q12" t="s">
        <v>94</v>
      </c>
      <c r="R12" t="s">
        <v>94</v>
      </c>
      <c r="S12" t="s">
        <v>94</v>
      </c>
      <c r="T12" t="s">
        <v>94</v>
      </c>
    </row>
    <row r="13" spans="1:20" ht="15.6" x14ac:dyDescent="0.3">
      <c r="A13" s="66"/>
      <c r="B13" s="66"/>
      <c r="C13" s="66"/>
      <c r="E13" s="44">
        <v>10</v>
      </c>
      <c r="F13" s="48" t="str">
        <f>IFERROR(INDEX('Encounter chances'!$H$7:'Encounter chances'!$T$26,ROW('Encounter chances'!H22)-6-$C$4+$C$5,$C$3+$C$2+1), "Nothing.")</f>
        <v>Traces</v>
      </c>
      <c r="G13">
        <v>-2</v>
      </c>
      <c r="H13" t="s">
        <v>101</v>
      </c>
      <c r="I13" t="s">
        <v>101</v>
      </c>
      <c r="J13" t="s">
        <v>101</v>
      </c>
      <c r="K13" t="s">
        <v>101</v>
      </c>
      <c r="L13" t="s">
        <v>101</v>
      </c>
      <c r="M13" t="s">
        <v>101</v>
      </c>
      <c r="N13" t="s">
        <v>101</v>
      </c>
      <c r="O13" t="s">
        <v>101</v>
      </c>
      <c r="P13" t="s">
        <v>101</v>
      </c>
      <c r="Q13" t="s">
        <v>101</v>
      </c>
      <c r="R13" t="s">
        <v>101</v>
      </c>
      <c r="S13" t="s">
        <v>101</v>
      </c>
      <c r="T13" t="s">
        <v>101</v>
      </c>
    </row>
    <row r="14" spans="1:20" ht="15.6" x14ac:dyDescent="0.3">
      <c r="A14" s="66"/>
      <c r="B14" s="66"/>
      <c r="C14" s="66"/>
      <c r="E14" s="44">
        <v>11</v>
      </c>
      <c r="F14" s="48" t="str">
        <f>IFERROR(INDEX('Encounter chances'!$H$7:'Encounter chances'!$T$26,ROW('Encounter chances'!H23)-6-$C$4+$C$5,$C$3+$C$2+1), "Nothing.")</f>
        <v>Nothing</v>
      </c>
      <c r="G14">
        <v>-1</v>
      </c>
      <c r="H14" t="s">
        <v>94</v>
      </c>
      <c r="I14" t="s">
        <v>94</v>
      </c>
      <c r="J14" t="s">
        <v>94</v>
      </c>
      <c r="K14" t="s">
        <v>94</v>
      </c>
      <c r="L14" t="s">
        <v>94</v>
      </c>
      <c r="M14" t="s">
        <v>94</v>
      </c>
      <c r="N14" t="s">
        <v>94</v>
      </c>
      <c r="O14" t="s">
        <v>94</v>
      </c>
      <c r="P14" t="s">
        <v>94</v>
      </c>
      <c r="Q14" t="s">
        <v>94</v>
      </c>
      <c r="R14" t="s">
        <v>94</v>
      </c>
      <c r="S14" t="s">
        <v>94</v>
      </c>
      <c r="T14" t="s">
        <v>94</v>
      </c>
    </row>
    <row r="15" spans="1:20" ht="16.2" thickBot="1" x14ac:dyDescent="0.35">
      <c r="A15" s="66"/>
      <c r="B15" s="66"/>
      <c r="C15" s="66"/>
      <c r="E15" s="45">
        <v>12</v>
      </c>
      <c r="F15" s="49" t="str">
        <f>IFERROR(INDEX('Encounter chances'!$H$7:'Encounter chances'!$T$26,ROW('Encounter chances'!H24)-6-$C$4+$C$5,$C$3+$C$2+1), "Nothing.")</f>
        <v>Nothing</v>
      </c>
      <c r="G15">
        <v>1</v>
      </c>
      <c r="H15" t="s">
        <v>95</v>
      </c>
      <c r="I15" t="s">
        <v>95</v>
      </c>
      <c r="J15" t="s">
        <v>95</v>
      </c>
      <c r="K15" t="s">
        <v>95</v>
      </c>
      <c r="L15" t="s">
        <v>95</v>
      </c>
      <c r="M15" t="s">
        <v>95</v>
      </c>
      <c r="N15" t="s">
        <v>95</v>
      </c>
      <c r="O15" t="s">
        <v>95</v>
      </c>
      <c r="P15" t="s">
        <v>95</v>
      </c>
      <c r="Q15" t="s">
        <v>95</v>
      </c>
      <c r="R15" t="s">
        <v>95</v>
      </c>
      <c r="S15" t="s">
        <v>95</v>
      </c>
      <c r="T15" t="s">
        <v>95</v>
      </c>
    </row>
    <row r="16" spans="1:20" x14ac:dyDescent="0.3">
      <c r="A16" s="66"/>
      <c r="B16" s="66"/>
      <c r="C16" s="66"/>
      <c r="G16">
        <v>2</v>
      </c>
      <c r="H16" t="s">
        <v>97</v>
      </c>
      <c r="I16" t="s">
        <v>97</v>
      </c>
      <c r="J16" t="s">
        <v>97</v>
      </c>
      <c r="K16" t="s">
        <v>97</v>
      </c>
      <c r="L16" t="s">
        <v>97</v>
      </c>
      <c r="M16" t="s">
        <v>97</v>
      </c>
      <c r="N16" t="s">
        <v>97</v>
      </c>
      <c r="O16" t="s">
        <v>97</v>
      </c>
      <c r="P16" t="s">
        <v>97</v>
      </c>
      <c r="Q16" t="s">
        <v>97</v>
      </c>
      <c r="R16" t="s">
        <v>97</v>
      </c>
      <c r="S16" t="s">
        <v>97</v>
      </c>
      <c r="T16" t="s">
        <v>97</v>
      </c>
    </row>
    <row r="17" spans="1:20" x14ac:dyDescent="0.3">
      <c r="A17" s="66"/>
      <c r="B17" s="66"/>
      <c r="C17" s="66"/>
      <c r="G17">
        <v>3</v>
      </c>
      <c r="H17" t="s">
        <v>96</v>
      </c>
      <c r="I17" t="s">
        <v>100</v>
      </c>
      <c r="J17" t="s">
        <v>98</v>
      </c>
      <c r="K17" t="s">
        <v>98</v>
      </c>
      <c r="L17" t="s">
        <v>98</v>
      </c>
      <c r="M17" t="s">
        <v>98</v>
      </c>
      <c r="N17" t="s">
        <v>97</v>
      </c>
      <c r="O17" t="s">
        <v>97</v>
      </c>
      <c r="P17" t="s">
        <v>97</v>
      </c>
      <c r="Q17" t="s">
        <v>97</v>
      </c>
      <c r="R17" t="s">
        <v>97</v>
      </c>
      <c r="S17" t="s">
        <v>97</v>
      </c>
      <c r="T17" t="s">
        <v>97</v>
      </c>
    </row>
    <row r="18" spans="1:20" x14ac:dyDescent="0.3">
      <c r="A18" s="66"/>
      <c r="B18" s="66"/>
      <c r="C18" s="66"/>
      <c r="G18">
        <v>4</v>
      </c>
      <c r="H18" t="s">
        <v>96</v>
      </c>
      <c r="I18" t="s">
        <v>96</v>
      </c>
      <c r="J18" t="s">
        <v>100</v>
      </c>
      <c r="K18" t="s">
        <v>99</v>
      </c>
      <c r="L18" t="s">
        <v>99</v>
      </c>
      <c r="M18" t="s">
        <v>98</v>
      </c>
      <c r="N18" t="s">
        <v>98</v>
      </c>
      <c r="O18" t="s">
        <v>97</v>
      </c>
      <c r="P18" t="s">
        <v>97</v>
      </c>
      <c r="Q18" t="s">
        <v>97</v>
      </c>
      <c r="R18" t="s">
        <v>97</v>
      </c>
      <c r="S18" t="s">
        <v>97</v>
      </c>
      <c r="T18" t="s">
        <v>97</v>
      </c>
    </row>
    <row r="19" spans="1:20" x14ac:dyDescent="0.3">
      <c r="A19" s="66"/>
      <c r="B19" s="66"/>
      <c r="C19" s="66"/>
      <c r="G19">
        <v>5</v>
      </c>
      <c r="H19" t="s">
        <v>96</v>
      </c>
      <c r="I19" t="s">
        <v>96</v>
      </c>
      <c r="J19" t="s">
        <v>96</v>
      </c>
      <c r="K19" t="s">
        <v>100</v>
      </c>
      <c r="L19" t="s">
        <v>99</v>
      </c>
      <c r="M19" t="s">
        <v>99</v>
      </c>
      <c r="N19" t="s">
        <v>98</v>
      </c>
      <c r="O19" t="s">
        <v>98</v>
      </c>
      <c r="P19" t="s">
        <v>98</v>
      </c>
      <c r="Q19" t="s">
        <v>98</v>
      </c>
      <c r="R19" t="s">
        <v>98</v>
      </c>
      <c r="S19" t="s">
        <v>98</v>
      </c>
      <c r="T19" t="s">
        <v>98</v>
      </c>
    </row>
    <row r="20" spans="1:20" x14ac:dyDescent="0.3">
      <c r="A20" s="66"/>
      <c r="B20" s="66"/>
      <c r="C20" s="66"/>
      <c r="G20">
        <v>6</v>
      </c>
      <c r="H20" t="s">
        <v>96</v>
      </c>
      <c r="I20" t="s">
        <v>96</v>
      </c>
      <c r="J20" t="s">
        <v>96</v>
      </c>
      <c r="K20" t="s">
        <v>96</v>
      </c>
      <c r="L20" t="s">
        <v>100</v>
      </c>
      <c r="M20" t="s">
        <v>99</v>
      </c>
      <c r="N20" t="s">
        <v>99</v>
      </c>
      <c r="O20" t="s">
        <v>98</v>
      </c>
      <c r="P20" t="s">
        <v>98</v>
      </c>
      <c r="Q20" t="s">
        <v>98</v>
      </c>
      <c r="R20" t="s">
        <v>98</v>
      </c>
      <c r="S20" t="s">
        <v>98</v>
      </c>
      <c r="T20" t="s">
        <v>98</v>
      </c>
    </row>
    <row r="21" spans="1:20" x14ac:dyDescent="0.3">
      <c r="A21" s="66"/>
      <c r="B21" s="66"/>
      <c r="C21" s="66"/>
      <c r="G21">
        <v>7</v>
      </c>
      <c r="H21" t="s">
        <v>96</v>
      </c>
      <c r="I21" t="s">
        <v>96</v>
      </c>
      <c r="J21" t="s">
        <v>96</v>
      </c>
      <c r="K21" t="s">
        <v>96</v>
      </c>
      <c r="L21" t="s">
        <v>96</v>
      </c>
      <c r="M21" t="s">
        <v>100</v>
      </c>
      <c r="N21" t="s">
        <v>99</v>
      </c>
      <c r="O21" t="s">
        <v>99</v>
      </c>
      <c r="P21" t="s">
        <v>99</v>
      </c>
      <c r="Q21" t="s">
        <v>98</v>
      </c>
      <c r="R21" t="s">
        <v>98</v>
      </c>
      <c r="S21" t="s">
        <v>98</v>
      </c>
      <c r="T21" t="s">
        <v>98</v>
      </c>
    </row>
    <row r="22" spans="1:20" x14ac:dyDescent="0.3">
      <c r="A22" s="66"/>
      <c r="B22" s="66"/>
      <c r="C22" s="66"/>
      <c r="G22">
        <v>8</v>
      </c>
      <c r="H22" t="s">
        <v>96</v>
      </c>
      <c r="I22" t="s">
        <v>96</v>
      </c>
      <c r="J22" t="s">
        <v>96</v>
      </c>
      <c r="K22" t="s">
        <v>96</v>
      </c>
      <c r="L22" t="s">
        <v>96</v>
      </c>
      <c r="M22" t="s">
        <v>96</v>
      </c>
      <c r="N22" t="s">
        <v>100</v>
      </c>
      <c r="O22" t="s">
        <v>99</v>
      </c>
      <c r="P22" t="s">
        <v>99</v>
      </c>
      <c r="Q22" t="s">
        <v>99</v>
      </c>
      <c r="R22" t="s">
        <v>99</v>
      </c>
      <c r="S22" t="s">
        <v>99</v>
      </c>
      <c r="T22" t="s">
        <v>99</v>
      </c>
    </row>
    <row r="23" spans="1:20" x14ac:dyDescent="0.3">
      <c r="A23" s="66"/>
      <c r="B23" s="66"/>
      <c r="C23" s="66"/>
      <c r="G23">
        <v>9</v>
      </c>
      <c r="H23" t="s">
        <v>96</v>
      </c>
      <c r="I23" t="s">
        <v>96</v>
      </c>
      <c r="J23" t="s">
        <v>96</v>
      </c>
      <c r="K23" t="s">
        <v>96</v>
      </c>
      <c r="L23" t="s">
        <v>96</v>
      </c>
      <c r="M23" t="s">
        <v>96</v>
      </c>
      <c r="N23" t="s">
        <v>96</v>
      </c>
      <c r="O23" t="s">
        <v>100</v>
      </c>
      <c r="P23" t="s">
        <v>100</v>
      </c>
      <c r="Q23" t="s">
        <v>100</v>
      </c>
      <c r="R23" t="s">
        <v>99</v>
      </c>
      <c r="S23" t="s">
        <v>99</v>
      </c>
      <c r="T23" t="s">
        <v>99</v>
      </c>
    </row>
    <row r="24" spans="1:20" x14ac:dyDescent="0.3">
      <c r="A24" s="66"/>
      <c r="B24" s="66"/>
      <c r="C24" s="66"/>
      <c r="G24">
        <v>10</v>
      </c>
      <c r="H24" t="s">
        <v>96</v>
      </c>
      <c r="I24" t="s">
        <v>96</v>
      </c>
      <c r="J24" t="s">
        <v>96</v>
      </c>
      <c r="K24" t="s">
        <v>96</v>
      </c>
      <c r="L24" t="s">
        <v>96</v>
      </c>
      <c r="M24" t="s">
        <v>96</v>
      </c>
      <c r="N24" t="s">
        <v>96</v>
      </c>
      <c r="O24" t="s">
        <v>96</v>
      </c>
      <c r="P24" t="s">
        <v>96</v>
      </c>
      <c r="Q24" t="s">
        <v>96</v>
      </c>
      <c r="R24" t="s">
        <v>100</v>
      </c>
      <c r="S24" t="s">
        <v>100</v>
      </c>
      <c r="T24" t="s">
        <v>99</v>
      </c>
    </row>
    <row r="25" spans="1:20" x14ac:dyDescent="0.3">
      <c r="A25" s="66"/>
      <c r="B25" s="66"/>
      <c r="C25" s="66"/>
      <c r="G25">
        <v>11</v>
      </c>
      <c r="H25" t="s">
        <v>96</v>
      </c>
      <c r="I25" t="s">
        <v>96</v>
      </c>
      <c r="J25" t="s">
        <v>96</v>
      </c>
      <c r="K25" t="s">
        <v>96</v>
      </c>
      <c r="L25" t="s">
        <v>96</v>
      </c>
      <c r="M25" t="s">
        <v>96</v>
      </c>
      <c r="N25" t="s">
        <v>96</v>
      </c>
      <c r="O25" t="s">
        <v>96</v>
      </c>
      <c r="P25" t="s">
        <v>96</v>
      </c>
      <c r="Q25" t="s">
        <v>96</v>
      </c>
      <c r="R25" t="s">
        <v>96</v>
      </c>
      <c r="S25" t="s">
        <v>100</v>
      </c>
      <c r="T25" t="s">
        <v>100</v>
      </c>
    </row>
    <row r="26" spans="1:20" x14ac:dyDescent="0.3">
      <c r="A26" s="66"/>
      <c r="B26" s="66"/>
      <c r="C26" s="66"/>
      <c r="G26">
        <v>12</v>
      </c>
      <c r="H26" t="s">
        <v>96</v>
      </c>
      <c r="I26" t="s">
        <v>96</v>
      </c>
      <c r="J26" t="s">
        <v>96</v>
      </c>
      <c r="K26" t="s">
        <v>96</v>
      </c>
      <c r="L26" t="s">
        <v>96</v>
      </c>
      <c r="M26" t="s">
        <v>96</v>
      </c>
      <c r="N26" t="s">
        <v>96</v>
      </c>
      <c r="O26" t="s">
        <v>96</v>
      </c>
      <c r="P26" t="s">
        <v>96</v>
      </c>
      <c r="Q26" t="s">
        <v>96</v>
      </c>
      <c r="R26" t="s">
        <v>96</v>
      </c>
      <c r="S26" t="s">
        <v>96</v>
      </c>
      <c r="T26" t="s">
        <v>100</v>
      </c>
    </row>
  </sheetData>
  <mergeCells count="3">
    <mergeCell ref="B5:B6"/>
    <mergeCell ref="A8:C26"/>
    <mergeCell ref="E2:F2"/>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662940</xdr:colOff>
                    <xdr:row>4</xdr:row>
                    <xdr:rowOff>7620</xdr:rowOff>
                  </from>
                  <to>
                    <xdr:col>3</xdr:col>
                    <xdr:colOff>38100</xdr:colOff>
                    <xdr:row>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0197-B7C7-40C9-A6D1-81C46739A88B}">
  <sheetPr codeName="Sheet3"/>
  <dimension ref="O1:V25"/>
  <sheetViews>
    <sheetView showGridLines="0" workbookViewId="0">
      <selection activeCell="P22" sqref="P22"/>
    </sheetView>
  </sheetViews>
  <sheetFormatPr defaultRowHeight="14.4" x14ac:dyDescent="0.3"/>
  <cols>
    <col min="14" max="14" width="7.109375" customWidth="1"/>
    <col min="15" max="15" width="30.21875" customWidth="1"/>
    <col min="17" max="17" width="7.44140625" customWidth="1"/>
    <col min="18" max="19" width="8.88671875" hidden="1" customWidth="1"/>
    <col min="20" max="20" width="0.33203125" customWidth="1"/>
    <col min="21" max="21" width="8.88671875" customWidth="1"/>
    <col min="22" max="22" width="12.77734375" customWidth="1"/>
  </cols>
  <sheetData>
    <row r="1" spans="21:22" ht="4.8" customHeight="1" thickBot="1" x14ac:dyDescent="0.35"/>
    <row r="2" spans="21:22" ht="15.6" x14ac:dyDescent="0.3">
      <c r="U2" s="67" t="s">
        <v>116</v>
      </c>
      <c r="V2" s="68"/>
    </row>
    <row r="3" spans="21:22" ht="15.6" x14ac:dyDescent="0.3">
      <c r="U3" s="47" t="s">
        <v>92</v>
      </c>
      <c r="V3" s="46" t="s">
        <v>93</v>
      </c>
    </row>
    <row r="4" spans="21:22" x14ac:dyDescent="0.3">
      <c r="U4" s="38">
        <f>'Encounter chances'!E4</f>
        <v>1</v>
      </c>
      <c r="V4" s="37" t="str">
        <f>IFERROR(INDEX('Encounter chances'!$H$7:'Encounter chances'!$T$26,ROW('Encounter chances'!H13)-6-$P$23+$P$24,$P$22+$P$21+1), "Nothing.")</f>
        <v>Encounter</v>
      </c>
    </row>
    <row r="5" spans="21:22" x14ac:dyDescent="0.3">
      <c r="U5" s="38">
        <f>'Encounter chances'!E5</f>
        <v>2</v>
      </c>
      <c r="V5" s="37" t="str">
        <f>IFERROR(INDEX('Encounter chances'!$H$7:'Encounter chances'!$T$26,ROW('Encounter chances'!H14)-6-$P$23+$P$24,$P$22+$P$21+1), "Nothing.")</f>
        <v>Lair</v>
      </c>
    </row>
    <row r="6" spans="21:22" x14ac:dyDescent="0.3">
      <c r="U6" s="38">
        <f>'Encounter chances'!E6</f>
        <v>3</v>
      </c>
      <c r="V6" s="37" t="str">
        <f>IFERROR(INDEX('Encounter chances'!$H$7:'Encounter chances'!$T$26,ROW('Encounter chances'!H15)-6-$P$23+$P$24,$P$22+$P$21+1), "Nothing.")</f>
        <v>Encounter</v>
      </c>
    </row>
    <row r="7" spans="21:22" x14ac:dyDescent="0.3">
      <c r="U7" s="38">
        <f>'Encounter chances'!E7</f>
        <v>4</v>
      </c>
      <c r="V7" s="37" t="str">
        <f>IFERROR(INDEX('Encounter chances'!$H$7:'Encounter chances'!$T$26,ROW('Encounter chances'!H16)-6-$P$23+$P$24,$P$22+$P$21+1), "Nothing.")</f>
        <v>Noises</v>
      </c>
    </row>
    <row r="8" spans="21:22" x14ac:dyDescent="0.3">
      <c r="U8" s="38">
        <f>'Encounter chances'!E8</f>
        <v>5</v>
      </c>
      <c r="V8" s="37" t="str">
        <f>IFERROR(INDEX('Encounter chances'!$H$7:'Encounter chances'!$T$26,ROW('Encounter chances'!H17)-6-$P$23+$P$24,$P$22+$P$21+1), "Nothing.")</f>
        <v>Waste</v>
      </c>
    </row>
    <row r="9" spans="21:22" x14ac:dyDescent="0.3">
      <c r="U9" s="38">
        <f>'Encounter chances'!E9</f>
        <v>6</v>
      </c>
      <c r="V9" s="37" t="str">
        <f>IFERROR(INDEX('Encounter chances'!$H$7:'Encounter chances'!$T$26,ROW('Encounter chances'!H18)-6-$P$23+$P$24,$P$22+$P$21+1), "Nothing.")</f>
        <v>Tracks</v>
      </c>
    </row>
    <row r="10" spans="21:22" x14ac:dyDescent="0.3">
      <c r="U10" s="38">
        <f>'Encounter chances'!E10</f>
        <v>7</v>
      </c>
      <c r="V10" s="37" t="str">
        <f>IFERROR(INDEX('Encounter chances'!$H$7:'Encounter chances'!$T$26,ROW('Encounter chances'!H19)-6-$P$23+$P$24,$P$22+$P$21+1), "Nothing.")</f>
        <v>Tracks</v>
      </c>
    </row>
    <row r="11" spans="21:22" x14ac:dyDescent="0.3">
      <c r="U11" s="38">
        <f>'Encounter chances'!E11</f>
        <v>8</v>
      </c>
      <c r="V11" s="37" t="str">
        <f>IFERROR(INDEX('Encounter chances'!$H$7:'Encounter chances'!$T$26,ROW('Encounter chances'!H20)-6-$P$23+$P$24,$P$22+$P$21+1), "Nothing.")</f>
        <v>Spoor</v>
      </c>
    </row>
    <row r="12" spans="21:22" x14ac:dyDescent="0.3">
      <c r="U12" s="38">
        <f>'Encounter chances'!E12</f>
        <v>9</v>
      </c>
      <c r="V12" s="37" t="str">
        <f>IFERROR(INDEX('Encounter chances'!$H$7:'Encounter chances'!$T$26,ROW('Encounter chances'!H21)-6-$P$23+$P$24,$P$22+$P$21+1), "Nothing.")</f>
        <v>Spoor</v>
      </c>
    </row>
    <row r="13" spans="21:22" x14ac:dyDescent="0.3">
      <c r="U13" s="38">
        <f>'Encounter chances'!E13</f>
        <v>10</v>
      </c>
      <c r="V13" s="37" t="str">
        <f>IFERROR(INDEX('Encounter chances'!$H$7:'Encounter chances'!$T$26,ROW('Encounter chances'!H22)-6-$P$23+$P$24,$P$22+$P$21+1), "Nothing.")</f>
        <v>Traces</v>
      </c>
    </row>
    <row r="14" spans="21:22" x14ac:dyDescent="0.3">
      <c r="U14" s="38">
        <f>'Encounter chances'!E14</f>
        <v>11</v>
      </c>
      <c r="V14" s="37" t="str">
        <f>IFERROR(INDEX('Encounter chances'!$H$7:'Encounter chances'!$T$26,ROW('Encounter chances'!H23)-6-$P$23+$P$24,$P$22+$P$21+1), "Nothing.")</f>
        <v>Nothing</v>
      </c>
    </row>
    <row r="15" spans="21:22" ht="15" thickBot="1" x14ac:dyDescent="0.35">
      <c r="U15" s="36">
        <f>'Encounter chances'!E15</f>
        <v>12</v>
      </c>
      <c r="V15" s="34" t="str">
        <f>IFERROR(INDEX('Encounter chances'!$H$7:'Encounter chances'!$T$26,ROW('Encounter chances'!H24)-6-$P$23+$P$24,$P$22+$P$21+1), "Nothing.")</f>
        <v>Nothing</v>
      </c>
    </row>
    <row r="21" spans="15:16" x14ac:dyDescent="0.3">
      <c r="O21" t="s">
        <v>112</v>
      </c>
      <c r="P21" s="43">
        <v>5</v>
      </c>
    </row>
    <row r="22" spans="15:16" x14ac:dyDescent="0.3">
      <c r="O22" t="s">
        <v>113</v>
      </c>
      <c r="P22">
        <v>0</v>
      </c>
    </row>
    <row r="23" spans="15:16" x14ac:dyDescent="0.3">
      <c r="O23" t="s">
        <v>114</v>
      </c>
      <c r="P23">
        <v>1</v>
      </c>
    </row>
    <row r="24" spans="15:16" x14ac:dyDescent="0.3">
      <c r="O24" s="65" t="s">
        <v>102</v>
      </c>
      <c r="P24" s="25" t="b">
        <v>0</v>
      </c>
    </row>
    <row r="25" spans="15:16" x14ac:dyDescent="0.3">
      <c r="O25" s="65"/>
    </row>
  </sheetData>
  <mergeCells count="2">
    <mergeCell ref="U2:V2"/>
    <mergeCell ref="O24:O2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Check Box 6">
              <controlPr defaultSize="0" autoFill="0" autoLine="0" autoPict="0">
                <anchor moveWithCells="1">
                  <from>
                    <xdr:col>15</xdr:col>
                    <xdr:colOff>457200</xdr:colOff>
                    <xdr:row>22</xdr:row>
                    <xdr:rowOff>167640</xdr:rowOff>
                  </from>
                  <to>
                    <xdr:col>16</xdr:col>
                    <xdr:colOff>53340</xdr:colOff>
                    <xdr:row>24</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F1B6E-4385-4D15-A58E-CA2EAF3D07D5}">
  <sheetPr codeName="Sheet4">
    <pageSetUpPr fitToPage="1"/>
  </sheetPr>
  <dimension ref="B3:P28"/>
  <sheetViews>
    <sheetView showGridLines="0" zoomScaleNormal="100" workbookViewId="0">
      <selection activeCell="J13" sqref="J13:M14"/>
    </sheetView>
  </sheetViews>
  <sheetFormatPr defaultRowHeight="14.4" x14ac:dyDescent="0.3"/>
  <cols>
    <col min="1" max="1" width="0.5546875" customWidth="1"/>
    <col min="9" max="9" width="0.77734375" customWidth="1"/>
    <col min="11" max="11" width="5.77734375" customWidth="1"/>
    <col min="12" max="12" width="0.77734375" customWidth="1"/>
    <col min="13" max="13" width="9.6640625" customWidth="1"/>
    <col min="14" max="14" width="0.6640625" customWidth="1"/>
    <col min="15" max="15" width="13.21875" customWidth="1"/>
    <col min="16" max="16" width="35" customWidth="1"/>
    <col min="17" max="17" width="0.5546875" customWidth="1"/>
  </cols>
  <sheetData>
    <row r="3" spans="2:16" ht="31.2" customHeight="1" x14ac:dyDescent="0.4">
      <c r="E3" s="42" t="s">
        <v>110</v>
      </c>
    </row>
    <row r="4" spans="2:16" ht="4.2" customHeight="1" thickBot="1" x14ac:dyDescent="0.35"/>
    <row r="5" spans="2:16" ht="15.6" customHeight="1" x14ac:dyDescent="0.3">
      <c r="B5" s="41" t="s">
        <v>109</v>
      </c>
      <c r="C5" s="40"/>
      <c r="D5" s="40"/>
      <c r="E5" s="40"/>
      <c r="F5" s="40"/>
      <c r="G5" s="40"/>
      <c r="H5" s="39"/>
      <c r="J5" s="41" t="s">
        <v>108</v>
      </c>
      <c r="K5" s="40"/>
      <c r="L5" s="40"/>
      <c r="M5" s="39"/>
    </row>
    <row r="6" spans="2:16" ht="15" thickBot="1" x14ac:dyDescent="0.35">
      <c r="B6" s="38" t="s">
        <v>107</v>
      </c>
      <c r="C6" s="50"/>
      <c r="D6" s="50"/>
      <c r="E6" s="50"/>
      <c r="F6" s="50"/>
      <c r="G6" s="50"/>
      <c r="H6" s="37"/>
      <c r="J6" s="36" t="s">
        <v>106</v>
      </c>
      <c r="K6" s="35"/>
      <c r="L6" s="35"/>
      <c r="M6" s="34"/>
    </row>
    <row r="7" spans="2:16" ht="5.4" customHeight="1" thickBot="1" x14ac:dyDescent="0.35">
      <c r="B7" s="87" t="s">
        <v>105</v>
      </c>
      <c r="C7" s="88"/>
      <c r="D7" s="88"/>
      <c r="E7" s="88"/>
      <c r="F7" s="88"/>
      <c r="G7" s="88"/>
      <c r="H7" s="89"/>
      <c r="O7" s="33"/>
      <c r="P7" s="33"/>
    </row>
    <row r="8" spans="2:16" ht="22.8" customHeight="1" x14ac:dyDescent="0.3">
      <c r="B8" s="87"/>
      <c r="C8" s="88"/>
      <c r="D8" s="88"/>
      <c r="E8" s="88"/>
      <c r="F8" s="88"/>
      <c r="G8" s="88"/>
      <c r="H8" s="89"/>
      <c r="I8" s="29"/>
      <c r="J8" s="90" t="s">
        <v>104</v>
      </c>
      <c r="K8" s="91"/>
      <c r="M8" s="83" t="s">
        <v>115</v>
      </c>
      <c r="N8" s="85"/>
      <c r="O8" s="85"/>
      <c r="P8" s="84"/>
    </row>
    <row r="9" spans="2:16" ht="27.6" customHeight="1" thickBot="1" x14ac:dyDescent="0.35">
      <c r="B9" s="87" t="s">
        <v>122</v>
      </c>
      <c r="C9" s="88"/>
      <c r="D9" s="88"/>
      <c r="E9" s="88"/>
      <c r="F9" s="88"/>
      <c r="G9" s="88"/>
      <c r="H9" s="89"/>
      <c r="I9" s="29"/>
      <c r="J9" s="92"/>
      <c r="K9" s="93"/>
      <c r="M9" s="77"/>
      <c r="N9" s="86"/>
      <c r="O9" s="86"/>
      <c r="P9" s="79"/>
    </row>
    <row r="10" spans="2:16" ht="5.4" customHeight="1" thickBot="1" x14ac:dyDescent="0.35">
      <c r="B10" s="87"/>
      <c r="C10" s="88"/>
      <c r="D10" s="88"/>
      <c r="E10" s="88"/>
      <c r="F10" s="88"/>
      <c r="G10" s="88"/>
      <c r="H10" s="89"/>
      <c r="I10" s="29"/>
      <c r="J10" s="32"/>
      <c r="K10" s="32"/>
      <c r="M10" s="77"/>
      <c r="N10" s="86"/>
      <c r="O10" s="86"/>
      <c r="P10" s="79"/>
    </row>
    <row r="11" spans="2:16" ht="54" customHeight="1" thickBot="1" x14ac:dyDescent="0.35">
      <c r="B11" s="87"/>
      <c r="C11" s="88"/>
      <c r="D11" s="88"/>
      <c r="E11" s="88"/>
      <c r="F11" s="88"/>
      <c r="G11" s="88"/>
      <c r="H11" s="89"/>
      <c r="I11" s="29"/>
      <c r="J11" s="75" t="s">
        <v>111</v>
      </c>
      <c r="K11" s="76"/>
      <c r="M11" s="80"/>
      <c r="N11" s="81"/>
      <c r="O11" s="81"/>
      <c r="P11" s="82"/>
    </row>
    <row r="12" spans="2:16" ht="6" customHeight="1" thickBot="1" x14ac:dyDescent="0.35">
      <c r="B12" s="77" t="s">
        <v>119</v>
      </c>
      <c r="C12" s="78"/>
      <c r="D12" s="78"/>
      <c r="E12" s="78"/>
      <c r="F12" s="78"/>
      <c r="G12" s="78"/>
      <c r="H12" s="79"/>
      <c r="I12" s="31"/>
    </row>
    <row r="13" spans="2:16" ht="45.6" customHeight="1" x14ac:dyDescent="0.3">
      <c r="B13" s="77"/>
      <c r="C13" s="78"/>
      <c r="D13" s="78"/>
      <c r="E13" s="78"/>
      <c r="F13" s="78"/>
      <c r="G13" s="78"/>
      <c r="H13" s="79"/>
      <c r="I13" s="31"/>
      <c r="J13" s="69" t="s">
        <v>103</v>
      </c>
      <c r="K13" s="70"/>
      <c r="L13" s="70"/>
      <c r="M13" s="71"/>
      <c r="O13" s="83" t="s">
        <v>121</v>
      </c>
      <c r="P13" s="84"/>
    </row>
    <row r="14" spans="2:16" ht="29.4" customHeight="1" thickBot="1" x14ac:dyDescent="0.35">
      <c r="B14" s="77"/>
      <c r="C14" s="78"/>
      <c r="D14" s="78"/>
      <c r="E14" s="78"/>
      <c r="F14" s="78"/>
      <c r="G14" s="78"/>
      <c r="H14" s="79"/>
      <c r="I14" s="29"/>
      <c r="J14" s="72"/>
      <c r="K14" s="73"/>
      <c r="L14" s="73"/>
      <c r="M14" s="74"/>
      <c r="O14" s="80"/>
      <c r="P14" s="82"/>
    </row>
    <row r="15" spans="2:16" ht="6" customHeight="1" thickBot="1" x14ac:dyDescent="0.35">
      <c r="B15" s="80"/>
      <c r="C15" s="81"/>
      <c r="D15" s="81"/>
      <c r="E15" s="81"/>
      <c r="F15" s="81"/>
      <c r="G15" s="81"/>
      <c r="H15" s="82"/>
    </row>
    <row r="16" spans="2:16" ht="4.2" customHeight="1" x14ac:dyDescent="0.3">
      <c r="B16" s="51"/>
      <c r="C16" s="51"/>
      <c r="D16" s="51"/>
      <c r="E16" s="51"/>
      <c r="F16" s="51"/>
      <c r="G16" s="51"/>
      <c r="H16" s="51"/>
    </row>
    <row r="17" spans="2:9" x14ac:dyDescent="0.3">
      <c r="B17" s="51"/>
      <c r="C17" s="51"/>
      <c r="D17" s="51"/>
      <c r="E17" s="51"/>
      <c r="F17" s="51"/>
      <c r="G17" s="51"/>
      <c r="H17" s="51"/>
    </row>
    <row r="19" spans="2:9" x14ac:dyDescent="0.3">
      <c r="B19" s="52" t="s">
        <v>120</v>
      </c>
    </row>
    <row r="26" spans="2:9" ht="18" x14ac:dyDescent="0.3">
      <c r="I26" s="30"/>
    </row>
    <row r="28" spans="2:9" x14ac:dyDescent="0.3">
      <c r="I28" s="29"/>
    </row>
  </sheetData>
  <mergeCells count="8">
    <mergeCell ref="J13:M14"/>
    <mergeCell ref="J11:K11"/>
    <mergeCell ref="B12:H15"/>
    <mergeCell ref="O13:P14"/>
    <mergeCell ref="M8:P11"/>
    <mergeCell ref="B9:H11"/>
    <mergeCell ref="B7:H8"/>
    <mergeCell ref="J8:K9"/>
  </mergeCells>
  <hyperlinks>
    <hyperlink ref="B19" r:id="rId1" xr:uid="{D015631A-6FD5-42D1-9B0B-703B42C4AD40}"/>
  </hyperlinks>
  <pageMargins left="0.7" right="0.7" top="0.75" bottom="0.75" header="0.3" footer="0.3"/>
  <pageSetup paperSize="9" scale="96" orientation="landscape"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77D0-AC2D-410D-8463-BFEAA60FE958}">
  <sheetPr codeName="Sheet5"/>
  <dimension ref="B2:C25"/>
  <sheetViews>
    <sheetView showGridLines="0" zoomScale="115" zoomScaleNormal="115" workbookViewId="0">
      <selection activeCell="F22" sqref="F22"/>
    </sheetView>
  </sheetViews>
  <sheetFormatPr defaultRowHeight="14.4" x14ac:dyDescent="0.3"/>
  <cols>
    <col min="1" max="1" width="8.21875" customWidth="1"/>
    <col min="2" max="2" width="8.5546875" customWidth="1"/>
    <col min="3" max="3" width="56.21875" customWidth="1"/>
  </cols>
  <sheetData>
    <row r="2" spans="2:3" x14ac:dyDescent="0.3">
      <c r="B2" t="s">
        <v>127</v>
      </c>
    </row>
    <row r="3" spans="2:3" ht="15" thickBot="1" x14ac:dyDescent="0.35"/>
    <row r="4" spans="2:3" x14ac:dyDescent="0.3">
      <c r="B4" s="54" t="s">
        <v>123</v>
      </c>
      <c r="C4" s="71" t="s">
        <v>128</v>
      </c>
    </row>
    <row r="5" spans="2:3" x14ac:dyDescent="0.3">
      <c r="B5" s="38"/>
      <c r="C5" s="89"/>
    </row>
    <row r="6" spans="2:3" x14ac:dyDescent="0.3">
      <c r="B6" s="38"/>
      <c r="C6" s="89"/>
    </row>
    <row r="7" spans="2:3" x14ac:dyDescent="0.3">
      <c r="B7" s="38"/>
      <c r="C7" s="89"/>
    </row>
    <row r="8" spans="2:3" x14ac:dyDescent="0.3">
      <c r="B8" s="38"/>
      <c r="C8" s="89"/>
    </row>
    <row r="9" spans="2:3" x14ac:dyDescent="0.3">
      <c r="B9" s="38"/>
      <c r="C9" s="89"/>
    </row>
    <row r="10" spans="2:3" ht="15" thickBot="1" x14ac:dyDescent="0.35">
      <c r="B10" s="38"/>
      <c r="C10" s="89"/>
    </row>
    <row r="11" spans="2:3" ht="15" thickBot="1" x14ac:dyDescent="0.35">
      <c r="B11" s="55" t="s">
        <v>126</v>
      </c>
      <c r="C11" s="56" t="s">
        <v>124</v>
      </c>
    </row>
    <row r="12" spans="2:3" x14ac:dyDescent="0.3">
      <c r="B12" s="38" t="s">
        <v>125</v>
      </c>
      <c r="C12" s="89" t="s">
        <v>129</v>
      </c>
    </row>
    <row r="13" spans="2:3" x14ac:dyDescent="0.3">
      <c r="B13" s="38"/>
      <c r="C13" s="89"/>
    </row>
    <row r="14" spans="2:3" x14ac:dyDescent="0.3">
      <c r="B14" s="38"/>
      <c r="C14" s="89"/>
    </row>
    <row r="15" spans="2:3" x14ac:dyDescent="0.3">
      <c r="B15" s="38"/>
      <c r="C15" s="89"/>
    </row>
    <row r="16" spans="2:3" x14ac:dyDescent="0.3">
      <c r="B16" s="38"/>
      <c r="C16" s="89"/>
    </row>
    <row r="17" spans="2:3" x14ac:dyDescent="0.3">
      <c r="B17" s="38"/>
      <c r="C17" s="89"/>
    </row>
    <row r="18" spans="2:3" ht="15" thickBot="1" x14ac:dyDescent="0.35">
      <c r="B18" s="38"/>
      <c r="C18" s="89"/>
    </row>
    <row r="19" spans="2:3" ht="14.4" customHeight="1" x14ac:dyDescent="0.3">
      <c r="B19" s="54" t="s">
        <v>22</v>
      </c>
      <c r="C19" s="71" t="s">
        <v>130</v>
      </c>
    </row>
    <row r="20" spans="2:3" x14ac:dyDescent="0.3">
      <c r="B20" s="38"/>
      <c r="C20" s="89"/>
    </row>
    <row r="21" spans="2:3" x14ac:dyDescent="0.3">
      <c r="B21" s="38"/>
      <c r="C21" s="89"/>
    </row>
    <row r="22" spans="2:3" x14ac:dyDescent="0.3">
      <c r="B22" s="38"/>
      <c r="C22" s="89"/>
    </row>
    <row r="23" spans="2:3" x14ac:dyDescent="0.3">
      <c r="B23" s="38"/>
      <c r="C23" s="89"/>
    </row>
    <row r="24" spans="2:3" ht="15" thickBot="1" x14ac:dyDescent="0.35">
      <c r="B24" s="36"/>
      <c r="C24" s="74"/>
    </row>
    <row r="25" spans="2:3" x14ac:dyDescent="0.3">
      <c r="C25" s="53"/>
    </row>
  </sheetData>
  <mergeCells count="3">
    <mergeCell ref="C4:C10"/>
    <mergeCell ref="C12:C18"/>
    <mergeCell ref="C19:C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5311-E4A6-4F6C-80AD-4BF6F936BBFD}">
  <sheetPr codeName="Sheet6"/>
  <dimension ref="A2:L27"/>
  <sheetViews>
    <sheetView workbookViewId="0">
      <selection activeCell="A2" sqref="A2"/>
    </sheetView>
  </sheetViews>
  <sheetFormatPr defaultRowHeight="13.8" x14ac:dyDescent="0.3"/>
  <cols>
    <col min="1" max="1" width="16.6640625" style="1" customWidth="1"/>
    <col min="2" max="2" width="8.88671875" style="1"/>
    <col min="3" max="3" width="20.109375" style="1" customWidth="1"/>
    <col min="4" max="4" width="14.6640625" style="1" customWidth="1"/>
    <col min="5" max="5" width="15.33203125" style="1" customWidth="1"/>
    <col min="6" max="6" width="20.21875" style="1" customWidth="1"/>
    <col min="7" max="7" width="13.44140625" style="1" customWidth="1"/>
    <col min="8" max="8" width="10.44140625" style="1" customWidth="1"/>
    <col min="9" max="13" width="8.88671875" style="1"/>
    <col min="14" max="14" width="10.21875" style="1" customWidth="1"/>
    <col min="15" max="15" width="13.109375" style="1" customWidth="1"/>
    <col min="16" max="16" width="12" style="1" customWidth="1"/>
    <col min="17" max="17" width="10.44140625" style="1" customWidth="1"/>
    <col min="18" max="18" width="9.88671875" style="1" customWidth="1"/>
    <col min="19" max="19" width="11.5546875" style="1" customWidth="1"/>
    <col min="20" max="16384" width="8.88671875" style="1"/>
  </cols>
  <sheetData>
    <row r="2" spans="1:12" x14ac:dyDescent="0.3">
      <c r="A2" s="8" t="str">
        <f>INDEX(Temp!A6:A9,MOD('General sheet'!M16,3)+1)</f>
        <v>Chilly</v>
      </c>
      <c r="E2" s="1">
        <v>1</v>
      </c>
      <c r="F2" s="1">
        <v>2</v>
      </c>
      <c r="G2" s="1">
        <v>3</v>
      </c>
      <c r="H2" s="1">
        <v>4</v>
      </c>
      <c r="I2" s="1">
        <v>5</v>
      </c>
      <c r="J2" s="1">
        <v>6</v>
      </c>
      <c r="K2" s="1">
        <v>7</v>
      </c>
      <c r="L2" s="1">
        <v>8</v>
      </c>
    </row>
    <row r="3" spans="1:12" x14ac:dyDescent="0.3">
      <c r="C3" s="7" t="s">
        <v>62</v>
      </c>
      <c r="E3" s="2" t="str">
        <f>$A$4</f>
        <v>Frigid</v>
      </c>
      <c r="F3" s="2" t="str">
        <f>$A$5</f>
        <v>Cold</v>
      </c>
      <c r="G3" s="2" t="str">
        <f>$A$6</f>
        <v>Barely Freezing</v>
      </c>
      <c r="H3" s="2" t="str">
        <f>$A$7</f>
        <v>Chilly</v>
      </c>
      <c r="I3" s="2" t="str">
        <f>$A$8</f>
        <v>Mild</v>
      </c>
      <c r="J3" s="2" t="str">
        <f>$A$9</f>
        <v>Warm</v>
      </c>
      <c r="K3" s="2" t="str">
        <f>$A$10</f>
        <v>Hot</v>
      </c>
      <c r="L3" s="2" t="str">
        <f>$A$11</f>
        <v>Scorching</v>
      </c>
    </row>
    <row r="4" spans="1:12" x14ac:dyDescent="0.3">
      <c r="A4" s="1" t="str">
        <f>INDEX(TemperatureTable[],B4,MATCH('General sheet'!$K$14,TemperatureTable[#Headers],0))</f>
        <v>Frigid</v>
      </c>
      <c r="B4" s="1">
        <v>1</v>
      </c>
      <c r="C4" s="1">
        <v>1.0416666666700001</v>
      </c>
      <c r="D4" s="2">
        <v>1</v>
      </c>
      <c r="E4" s="1" t="str">
        <f>$A$4</f>
        <v>Frigid</v>
      </c>
      <c r="F4" s="1" t="str">
        <f t="shared" ref="F4:G6" si="0">$A$4</f>
        <v>Frigid</v>
      </c>
      <c r="G4" s="1" t="str">
        <f t="shared" si="0"/>
        <v>Frigid</v>
      </c>
      <c r="H4" s="1" t="str">
        <f>$A$5</f>
        <v>Cold</v>
      </c>
      <c r="I4" s="1" t="str">
        <f>$A$6</f>
        <v>Barely Freezing</v>
      </c>
      <c r="J4" s="1" t="str">
        <f>$A$7</f>
        <v>Chilly</v>
      </c>
      <c r="K4" s="1" t="str">
        <f>$A$8</f>
        <v>Mild</v>
      </c>
      <c r="L4" s="1" t="str">
        <f>$A$9</f>
        <v>Warm</v>
      </c>
    </row>
    <row r="5" spans="1:12" x14ac:dyDescent="0.3">
      <c r="A5" s="1" t="str">
        <f>INDEX(TemperatureTable[],B5,MATCH('General sheet'!$K$14,TemperatureTable[#Headers],0))</f>
        <v>Cold</v>
      </c>
      <c r="B5" s="1">
        <v>2</v>
      </c>
      <c r="C5" s="1">
        <v>3.125</v>
      </c>
      <c r="D5" s="2">
        <v>2</v>
      </c>
      <c r="E5" s="1" t="str">
        <f>$A$4</f>
        <v>Frigid</v>
      </c>
      <c r="F5" s="1" t="str">
        <f t="shared" si="0"/>
        <v>Frigid</v>
      </c>
      <c r="G5" s="1" t="str">
        <f t="shared" si="0"/>
        <v>Frigid</v>
      </c>
      <c r="H5" s="1" t="str">
        <f>$A$5</f>
        <v>Cold</v>
      </c>
      <c r="I5" s="1" t="str">
        <f>$A$6</f>
        <v>Barely Freezing</v>
      </c>
      <c r="J5" s="1" t="str">
        <f>$A$7</f>
        <v>Chilly</v>
      </c>
      <c r="K5" s="1" t="str">
        <f>$A$8</f>
        <v>Mild</v>
      </c>
      <c r="L5" s="1" t="str">
        <f>$A$9</f>
        <v>Warm</v>
      </c>
    </row>
    <row r="6" spans="1:12" x14ac:dyDescent="0.3">
      <c r="A6" s="1" t="str">
        <f>INDEX(TemperatureTable[],B6,MATCH('General sheet'!$K$14,TemperatureTable[#Headers],0))</f>
        <v>Barely Freezing</v>
      </c>
      <c r="B6" s="1">
        <v>3</v>
      </c>
      <c r="C6" s="1">
        <v>6.25</v>
      </c>
      <c r="D6" s="2">
        <v>3</v>
      </c>
      <c r="E6" s="1" t="str">
        <f t="shared" ref="E6:E12" si="1">$A$5</f>
        <v>Cold</v>
      </c>
      <c r="F6" s="1" t="str">
        <f t="shared" si="0"/>
        <v>Frigid</v>
      </c>
      <c r="G6" s="1" t="str">
        <f t="shared" si="0"/>
        <v>Frigid</v>
      </c>
      <c r="H6" s="1" t="str">
        <f>$A$5</f>
        <v>Cold</v>
      </c>
      <c r="I6" s="1" t="str">
        <f>$A$6</f>
        <v>Barely Freezing</v>
      </c>
      <c r="J6" s="1" t="str">
        <f>$A$7</f>
        <v>Chilly</v>
      </c>
      <c r="K6" s="1" t="str">
        <f>$A$8</f>
        <v>Mild</v>
      </c>
      <c r="L6" s="1" t="str">
        <f>$A$9</f>
        <v>Warm</v>
      </c>
    </row>
    <row r="7" spans="1:12" x14ac:dyDescent="0.3">
      <c r="A7" s="1" t="str">
        <f>INDEX(TemperatureTable[],B7,MATCH('General sheet'!$K$14,TemperatureTable[#Headers],0))</f>
        <v>Chilly</v>
      </c>
      <c r="B7" s="1">
        <v>4</v>
      </c>
      <c r="C7" s="1">
        <v>10.416666666699999</v>
      </c>
      <c r="D7" s="2">
        <v>4</v>
      </c>
      <c r="E7" s="1" t="str">
        <f t="shared" si="1"/>
        <v>Cold</v>
      </c>
      <c r="F7" s="1" t="str">
        <f>$A$4</f>
        <v>Frigid</v>
      </c>
      <c r="G7" s="1" t="str">
        <f>$A$6</f>
        <v>Barely Freezing</v>
      </c>
      <c r="H7" s="1" t="str">
        <f>$A$6</f>
        <v>Barely Freezing</v>
      </c>
      <c r="I7" s="1" t="str">
        <f>$A$7</f>
        <v>Chilly</v>
      </c>
      <c r="J7" s="1" t="str">
        <f>$A$9</f>
        <v>Warm</v>
      </c>
      <c r="K7" s="1" t="str">
        <f>$A$9</f>
        <v>Warm</v>
      </c>
      <c r="L7" s="1" t="str">
        <f>$A$10</f>
        <v>Hot</v>
      </c>
    </row>
    <row r="8" spans="1:12" x14ac:dyDescent="0.3">
      <c r="A8" s="1" t="str">
        <f>INDEX(TemperatureTable[],B8,MATCH('General sheet'!$K$14,TemperatureTable[#Headers],0))</f>
        <v>Mild</v>
      </c>
      <c r="B8" s="1">
        <v>5</v>
      </c>
      <c r="C8" s="1">
        <v>13.541666666699999</v>
      </c>
      <c r="D8" s="2">
        <v>5</v>
      </c>
      <c r="E8" s="1" t="str">
        <f t="shared" si="1"/>
        <v>Cold</v>
      </c>
      <c r="F8" s="1" t="str">
        <f>$A$6</f>
        <v>Barely Freezing</v>
      </c>
      <c r="G8" s="1" t="str">
        <f>$A$6</f>
        <v>Barely Freezing</v>
      </c>
      <c r="H8" s="1" t="str">
        <f>$A$7</f>
        <v>Chilly</v>
      </c>
      <c r="I8" s="1" t="str">
        <f>$A$7</f>
        <v>Chilly</v>
      </c>
      <c r="J8" s="1" t="str">
        <f>$A$8</f>
        <v>Mild</v>
      </c>
      <c r="K8" s="1" t="str">
        <f>$A$10</f>
        <v>Hot</v>
      </c>
      <c r="L8" s="1" t="str">
        <f>$A$9</f>
        <v>Warm</v>
      </c>
    </row>
    <row r="9" spans="1:12" x14ac:dyDescent="0.3">
      <c r="A9" s="1" t="str">
        <f>INDEX(TemperatureTable[],B9,MATCH('General sheet'!$K$14,TemperatureTable[#Headers],0))</f>
        <v>Warm</v>
      </c>
      <c r="B9" s="1">
        <v>6</v>
      </c>
      <c r="C9" s="1">
        <v>15.625</v>
      </c>
      <c r="D9" s="2">
        <v>6</v>
      </c>
      <c r="E9" s="1" t="str">
        <f t="shared" si="1"/>
        <v>Cold</v>
      </c>
      <c r="F9" s="1" t="str">
        <f>$A$4</f>
        <v>Frigid</v>
      </c>
      <c r="G9" s="1" t="str">
        <f>$A$5</f>
        <v>Cold</v>
      </c>
      <c r="H9" s="1" t="str">
        <f>$A$6</f>
        <v>Barely Freezing</v>
      </c>
      <c r="I9" s="1" t="str">
        <f>$A$8</f>
        <v>Mild</v>
      </c>
      <c r="J9" s="1" t="str">
        <f>$A$8</f>
        <v>Mild</v>
      </c>
      <c r="K9" s="1" t="str">
        <f>$A$9</f>
        <v>Warm</v>
      </c>
      <c r="L9" s="1" t="str">
        <f>$A$10</f>
        <v>Hot</v>
      </c>
    </row>
    <row r="10" spans="1:12" x14ac:dyDescent="0.3">
      <c r="A10" s="1" t="str">
        <f>INDEX(TemperatureTable[],B10,MATCH('General sheet'!$K$14,TemperatureTable[#Headers],0))</f>
        <v>Hot</v>
      </c>
      <c r="B10" s="1">
        <v>7</v>
      </c>
      <c r="C10" s="1">
        <v>15.625</v>
      </c>
      <c r="D10" s="2">
        <v>7</v>
      </c>
      <c r="E10" s="1" t="str">
        <f t="shared" si="1"/>
        <v>Cold</v>
      </c>
      <c r="F10" s="1" t="str">
        <f>$A$6</f>
        <v>Barely Freezing</v>
      </c>
      <c r="G10" s="1" t="str">
        <f>$A$7</f>
        <v>Chilly</v>
      </c>
      <c r="H10" s="1" t="str">
        <f>$A$8</f>
        <v>Mild</v>
      </c>
      <c r="I10" s="1" t="str">
        <f>$A$8</f>
        <v>Mild</v>
      </c>
      <c r="J10" s="1" t="str">
        <f>$A$10</f>
        <v>Hot</v>
      </c>
      <c r="K10" s="1" t="str">
        <f>$A$11</f>
        <v>Scorching</v>
      </c>
      <c r="L10" s="1" t="str">
        <f>$A$10</f>
        <v>Hot</v>
      </c>
    </row>
    <row r="11" spans="1:12" x14ac:dyDescent="0.3">
      <c r="A11" s="1" t="str">
        <f>INDEX(TemperatureTable[],B11,MATCH('General sheet'!$K$14,TemperatureTable[#Headers],0))</f>
        <v>Scorching</v>
      </c>
      <c r="B11" s="1">
        <v>8</v>
      </c>
      <c r="C11" s="1">
        <v>13.541666666699999</v>
      </c>
      <c r="D11" s="2">
        <v>8</v>
      </c>
      <c r="E11" s="1" t="str">
        <f t="shared" ref="E11:E15" si="2">$A$6</f>
        <v>Barely Freezing</v>
      </c>
      <c r="F11" s="1" t="str">
        <f>$A$5</f>
        <v>Cold</v>
      </c>
      <c r="G11" s="1" t="str">
        <f>$A$7</f>
        <v>Chilly</v>
      </c>
      <c r="H11" s="1" t="str">
        <f>$A$7</f>
        <v>Chilly</v>
      </c>
      <c r="I11" s="1" t="str">
        <f>$A$9</f>
        <v>Warm</v>
      </c>
      <c r="J11" s="1" t="str">
        <f>$A$9</f>
        <v>Warm</v>
      </c>
      <c r="K11" s="1" t="str">
        <f>$A$9</f>
        <v>Warm</v>
      </c>
      <c r="L11" s="1" t="str">
        <f>$A$10</f>
        <v>Hot</v>
      </c>
    </row>
    <row r="12" spans="1:12" x14ac:dyDescent="0.3">
      <c r="C12" s="1">
        <v>10.416666666699999</v>
      </c>
      <c r="D12" s="2">
        <v>9</v>
      </c>
      <c r="E12" s="1" t="str">
        <f t="shared" si="1"/>
        <v>Cold</v>
      </c>
      <c r="F12" s="1" t="str">
        <f>$A$6</f>
        <v>Barely Freezing</v>
      </c>
      <c r="G12" s="1" t="str">
        <f>$A$6</f>
        <v>Barely Freezing</v>
      </c>
      <c r="H12" s="1" t="str">
        <f>$A$8</f>
        <v>Mild</v>
      </c>
      <c r="I12" s="1" t="str">
        <f>$A$9</f>
        <v>Warm</v>
      </c>
      <c r="J12" s="1" t="str">
        <f>$A$9</f>
        <v>Warm</v>
      </c>
      <c r="K12" s="1" t="str">
        <f>$A$11</f>
        <v>Scorching</v>
      </c>
      <c r="L12" s="1" t="str">
        <f>$A$10</f>
        <v>Hot</v>
      </c>
    </row>
    <row r="13" spans="1:12" x14ac:dyDescent="0.3">
      <c r="C13" s="1">
        <v>6.25</v>
      </c>
      <c r="D13" s="2">
        <v>10</v>
      </c>
      <c r="E13" s="1" t="str">
        <f t="shared" si="2"/>
        <v>Barely Freezing</v>
      </c>
      <c r="F13" s="1" t="str">
        <f>$A$7</f>
        <v>Chilly</v>
      </c>
      <c r="G13" s="1" t="str">
        <f>$A$8</f>
        <v>Mild</v>
      </c>
      <c r="H13" s="1" t="str">
        <f>$A$9</f>
        <v>Warm</v>
      </c>
      <c r="I13" s="1" t="str">
        <f>$A$10</f>
        <v>Hot</v>
      </c>
      <c r="J13" s="1" t="str">
        <f>$A$11</f>
        <v>Scorching</v>
      </c>
      <c r="K13" s="1" t="str">
        <f>$A$11</f>
        <v>Scorching</v>
      </c>
      <c r="L13" s="1" t="str">
        <f>$A$10</f>
        <v>Hot</v>
      </c>
    </row>
    <row r="14" spans="1:12" x14ac:dyDescent="0.3">
      <c r="C14" s="1">
        <v>3.125</v>
      </c>
      <c r="D14" s="2">
        <v>11</v>
      </c>
      <c r="E14" s="1" t="str">
        <f t="shared" si="2"/>
        <v>Barely Freezing</v>
      </c>
      <c r="F14" s="1" t="str">
        <f t="shared" ref="F14:F15" si="3">$A$7</f>
        <v>Chilly</v>
      </c>
      <c r="G14" s="1" t="str">
        <f>$A$8</f>
        <v>Mild</v>
      </c>
      <c r="H14" s="1" t="str">
        <f>$A$9</f>
        <v>Warm</v>
      </c>
      <c r="I14" s="1" t="str">
        <f>$A$10</f>
        <v>Hot</v>
      </c>
      <c r="J14" s="1" t="str">
        <f>$A$11</f>
        <v>Scorching</v>
      </c>
      <c r="K14" s="1" t="str">
        <f>$A$11</f>
        <v>Scorching</v>
      </c>
      <c r="L14" s="1" t="str">
        <f>$A$11</f>
        <v>Scorching</v>
      </c>
    </row>
    <row r="15" spans="1:12" x14ac:dyDescent="0.3">
      <c r="C15" s="1">
        <v>1.0416666666700001</v>
      </c>
      <c r="D15" s="2">
        <v>12</v>
      </c>
      <c r="E15" s="1" t="str">
        <f t="shared" si="2"/>
        <v>Barely Freezing</v>
      </c>
      <c r="F15" s="1" t="str">
        <f t="shared" si="3"/>
        <v>Chilly</v>
      </c>
      <c r="G15" s="1" t="str">
        <f>$A$8</f>
        <v>Mild</v>
      </c>
      <c r="H15" s="1" t="str">
        <f>$A$9</f>
        <v>Warm</v>
      </c>
      <c r="I15" s="1" t="str">
        <f>$A$10</f>
        <v>Hot</v>
      </c>
      <c r="J15" s="1" t="str">
        <f>$A$11</f>
        <v>Scorching</v>
      </c>
      <c r="K15" s="1" t="str">
        <f>$A$11</f>
        <v>Scorching</v>
      </c>
      <c r="L15" s="1" t="str">
        <f>$A$11</f>
        <v>Scorching</v>
      </c>
    </row>
    <row r="18" spans="1:9" x14ac:dyDescent="0.3">
      <c r="A18" s="94" t="s">
        <v>151</v>
      </c>
      <c r="B18" s="94"/>
      <c r="C18" s="94"/>
      <c r="D18" s="94"/>
      <c r="E18" s="94"/>
      <c r="F18" s="94"/>
      <c r="G18" s="94"/>
      <c r="H18" s="94"/>
    </row>
    <row r="19" spans="1:9" x14ac:dyDescent="0.3">
      <c r="A19" s="2" t="s">
        <v>141</v>
      </c>
      <c r="B19" s="2" t="s">
        <v>1</v>
      </c>
      <c r="C19" s="2" t="s">
        <v>6</v>
      </c>
      <c r="D19" s="2" t="s">
        <v>80</v>
      </c>
      <c r="E19" s="2" t="s">
        <v>81</v>
      </c>
      <c r="F19" s="2" t="s">
        <v>132</v>
      </c>
    </row>
    <row r="20" spans="1:9" x14ac:dyDescent="0.3">
      <c r="A20" s="1" t="s">
        <v>0</v>
      </c>
      <c r="B20" s="1" t="s">
        <v>0</v>
      </c>
      <c r="C20" s="1" t="s">
        <v>2</v>
      </c>
      <c r="D20" s="1" t="s">
        <v>0</v>
      </c>
      <c r="E20" s="1" t="s">
        <v>4</v>
      </c>
      <c r="F20" s="1" t="s">
        <v>2</v>
      </c>
    </row>
    <row r="21" spans="1:9" x14ac:dyDescent="0.3">
      <c r="A21" s="1" t="s">
        <v>1</v>
      </c>
      <c r="B21" s="1" t="s">
        <v>1</v>
      </c>
      <c r="C21" s="1" t="s">
        <v>3</v>
      </c>
      <c r="D21" s="1" t="s">
        <v>1</v>
      </c>
      <c r="E21" s="1" t="s">
        <v>5</v>
      </c>
      <c r="F21" s="1" t="s">
        <v>4</v>
      </c>
    </row>
    <row r="22" spans="1:9" x14ac:dyDescent="0.3">
      <c r="A22" s="1" t="s">
        <v>2</v>
      </c>
      <c r="B22" s="1" t="s">
        <v>2</v>
      </c>
      <c r="C22" s="1" t="s">
        <v>4</v>
      </c>
      <c r="D22" s="1" t="s">
        <v>2</v>
      </c>
      <c r="E22" s="1" t="s">
        <v>6</v>
      </c>
      <c r="F22" s="1" t="s">
        <v>3</v>
      </c>
    </row>
    <row r="23" spans="1:9" x14ac:dyDescent="0.3">
      <c r="A23" s="1" t="s">
        <v>3</v>
      </c>
      <c r="B23" s="1" t="s">
        <v>66</v>
      </c>
      <c r="C23" s="1" t="s">
        <v>5</v>
      </c>
      <c r="D23" s="1" t="s">
        <v>66</v>
      </c>
      <c r="E23" s="1" t="s">
        <v>74</v>
      </c>
      <c r="F23" s="1" t="s">
        <v>133</v>
      </c>
    </row>
    <row r="24" spans="1:9" x14ac:dyDescent="0.3">
      <c r="A24" s="1" t="s">
        <v>4</v>
      </c>
      <c r="B24" s="1" t="s">
        <v>65</v>
      </c>
      <c r="C24" s="1" t="s">
        <v>73</v>
      </c>
      <c r="D24" s="1" t="s">
        <v>65</v>
      </c>
      <c r="E24" s="1" t="s">
        <v>84</v>
      </c>
      <c r="F24" s="1" t="s">
        <v>73</v>
      </c>
      <c r="I24" s="1" t="s">
        <v>117</v>
      </c>
    </row>
    <row r="25" spans="1:9" x14ac:dyDescent="0.3">
      <c r="A25" s="1" t="s">
        <v>5</v>
      </c>
      <c r="B25" s="1" t="s">
        <v>3</v>
      </c>
      <c r="C25" s="1" t="s">
        <v>74</v>
      </c>
      <c r="D25" s="1" t="s">
        <v>82</v>
      </c>
      <c r="E25" s="1" t="s">
        <v>85</v>
      </c>
      <c r="F25" s="1" t="s">
        <v>5</v>
      </c>
    </row>
    <row r="26" spans="1:9" x14ac:dyDescent="0.3">
      <c r="A26" s="1" t="s">
        <v>6</v>
      </c>
      <c r="B26" s="1" t="s">
        <v>4</v>
      </c>
      <c r="C26" s="1" t="s">
        <v>6</v>
      </c>
      <c r="D26" s="1" t="s">
        <v>83</v>
      </c>
      <c r="E26" s="1" t="s">
        <v>86</v>
      </c>
      <c r="F26" s="1" t="s">
        <v>152</v>
      </c>
    </row>
    <row r="27" spans="1:9" x14ac:dyDescent="0.3">
      <c r="A27" s="1" t="s">
        <v>42</v>
      </c>
      <c r="B27" s="1" t="s">
        <v>5</v>
      </c>
      <c r="C27" s="1" t="s">
        <v>42</v>
      </c>
      <c r="D27" s="1" t="s">
        <v>3</v>
      </c>
      <c r="E27" s="1" t="s">
        <v>42</v>
      </c>
      <c r="F27" s="1" t="s">
        <v>74</v>
      </c>
    </row>
  </sheetData>
  <sortState xmlns:xlrd2="http://schemas.microsoft.com/office/spreadsheetml/2017/richdata2" ref="J4:M15">
    <sortCondition descending="1" ref="M15"/>
  </sortState>
  <mergeCells count="1">
    <mergeCell ref="A18:H18"/>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23E0E-3693-471A-864D-575107D60D14}">
  <sheetPr codeName="Sheet7"/>
  <dimension ref="A2:L27"/>
  <sheetViews>
    <sheetView workbookViewId="0">
      <selection activeCell="A2" sqref="A2"/>
    </sheetView>
  </sheetViews>
  <sheetFormatPr defaultRowHeight="13.8" x14ac:dyDescent="0.3"/>
  <cols>
    <col min="1" max="1" width="12.44140625" style="1" customWidth="1"/>
    <col min="2" max="2" width="17.21875" style="1" customWidth="1"/>
    <col min="3" max="3" width="20.44140625" style="1" customWidth="1"/>
    <col min="4" max="4" width="16.77734375" style="1" customWidth="1"/>
    <col min="5" max="5" width="16.21875" style="1" customWidth="1"/>
    <col min="6" max="6" width="12.88671875" style="1" customWidth="1"/>
    <col min="7" max="8" width="12.109375" style="1" customWidth="1"/>
    <col min="9" max="10" width="11.109375" style="1" customWidth="1"/>
    <col min="11" max="11" width="13.33203125" style="1" customWidth="1"/>
    <col min="12" max="16384" width="8.88671875" style="1"/>
  </cols>
  <sheetData>
    <row r="2" spans="1:12" x14ac:dyDescent="0.3">
      <c r="A2" s="8" t="str">
        <f>INDEX(Precip!A9:A11,MOD('General sheet'!M16*7,3)+1)</f>
        <v>Mostly Clear</v>
      </c>
      <c r="E2" s="1">
        <v>1</v>
      </c>
      <c r="F2" s="1">
        <v>2</v>
      </c>
      <c r="G2" s="1">
        <v>3</v>
      </c>
      <c r="H2" s="1">
        <v>4</v>
      </c>
      <c r="I2" s="1">
        <v>5</v>
      </c>
      <c r="J2" s="1">
        <v>6</v>
      </c>
      <c r="K2" s="1">
        <v>7</v>
      </c>
      <c r="L2" s="1">
        <v>8</v>
      </c>
    </row>
    <row r="3" spans="1:12" x14ac:dyDescent="0.3">
      <c r="C3" s="7" t="s">
        <v>62</v>
      </c>
      <c r="E3" s="2" t="str">
        <f>$A$4</f>
        <v>Heavy Rain</v>
      </c>
      <c r="F3" s="2" t="str">
        <f>$A$5</f>
        <v>Rain</v>
      </c>
      <c r="G3" s="2" t="str">
        <f>$A$6</f>
        <v>Heavy Fog</v>
      </c>
      <c r="H3" s="2" t="str">
        <f>$A$7</f>
        <v>Drizzle</v>
      </c>
      <c r="I3" s="2" t="str">
        <f>$A$8</f>
        <v>Overcast</v>
      </c>
      <c r="J3" s="2" t="str">
        <f>$A$9</f>
        <v>Cloudy</v>
      </c>
      <c r="K3" s="2" t="str">
        <f>$A$10</f>
        <v>Mostly Clear</v>
      </c>
      <c r="L3" s="2" t="str">
        <f>$A$11</f>
        <v>Clear</v>
      </c>
    </row>
    <row r="4" spans="1:12" x14ac:dyDescent="0.3">
      <c r="A4" s="1" t="str">
        <f>INDEX(precipTable[],B4,MATCH('General sheet'!$M$14,precipTable[#Headers],0))</f>
        <v>Heavy Rain</v>
      </c>
      <c r="B4" s="1">
        <v>1</v>
      </c>
      <c r="C4" s="1">
        <v>1.0416666666700001</v>
      </c>
      <c r="D4" s="4">
        <v>1</v>
      </c>
      <c r="E4" s="1" t="str">
        <f>$A$4</f>
        <v>Heavy Rain</v>
      </c>
      <c r="F4" s="1" t="str">
        <f t="shared" ref="F4:G6" si="0">$A$4</f>
        <v>Heavy Rain</v>
      </c>
      <c r="G4" s="1" t="str">
        <f t="shared" si="0"/>
        <v>Heavy Rain</v>
      </c>
      <c r="H4" s="1" t="str">
        <f>$A$5</f>
        <v>Rain</v>
      </c>
      <c r="I4" s="1" t="str">
        <f>$A$6</f>
        <v>Heavy Fog</v>
      </c>
      <c r="J4" s="1" t="str">
        <f>$A$7</f>
        <v>Drizzle</v>
      </c>
      <c r="K4" s="1" t="str">
        <f>$A$8</f>
        <v>Overcast</v>
      </c>
      <c r="L4" s="1" t="str">
        <f>$A$9</f>
        <v>Cloudy</v>
      </c>
    </row>
    <row r="5" spans="1:12" x14ac:dyDescent="0.3">
      <c r="A5" s="1" t="str">
        <f>INDEX(precipTable[],B5,MATCH('General sheet'!$M$14,precipTable[#Headers],0))</f>
        <v>Rain</v>
      </c>
      <c r="B5" s="1">
        <v>2</v>
      </c>
      <c r="C5" s="1">
        <v>3.125</v>
      </c>
      <c r="D5" s="4">
        <v>2</v>
      </c>
      <c r="E5" s="1" t="str">
        <f>$A$4</f>
        <v>Heavy Rain</v>
      </c>
      <c r="F5" s="1" t="str">
        <f t="shared" si="0"/>
        <v>Heavy Rain</v>
      </c>
      <c r="G5" s="1" t="str">
        <f t="shared" si="0"/>
        <v>Heavy Rain</v>
      </c>
      <c r="H5" s="1" t="str">
        <f>$A$5</f>
        <v>Rain</v>
      </c>
      <c r="I5" s="1" t="str">
        <f>$A$6</f>
        <v>Heavy Fog</v>
      </c>
      <c r="J5" s="1" t="str">
        <f>$A$7</f>
        <v>Drizzle</v>
      </c>
      <c r="K5" s="1" t="str">
        <f>$A$8</f>
        <v>Overcast</v>
      </c>
      <c r="L5" s="1" t="str">
        <f>$A$9</f>
        <v>Cloudy</v>
      </c>
    </row>
    <row r="6" spans="1:12" x14ac:dyDescent="0.3">
      <c r="A6" s="1" t="str">
        <f>INDEX(precipTable[],B6,MATCH('General sheet'!$M$14,precipTable[#Headers],0))</f>
        <v>Heavy Fog</v>
      </c>
      <c r="B6" s="1">
        <v>3</v>
      </c>
      <c r="C6" s="1">
        <v>6.25</v>
      </c>
      <c r="D6" s="4">
        <v>3</v>
      </c>
      <c r="E6" s="1" t="str">
        <f t="shared" ref="E6:E12" si="1">$A$5</f>
        <v>Rain</v>
      </c>
      <c r="F6" s="1" t="str">
        <f t="shared" si="0"/>
        <v>Heavy Rain</v>
      </c>
      <c r="G6" s="1" t="str">
        <f t="shared" si="0"/>
        <v>Heavy Rain</v>
      </c>
      <c r="H6" s="1" t="str">
        <f>$A$5</f>
        <v>Rain</v>
      </c>
      <c r="I6" s="1" t="str">
        <f>$A$6</f>
        <v>Heavy Fog</v>
      </c>
      <c r="J6" s="1" t="str">
        <f>$A$7</f>
        <v>Drizzle</v>
      </c>
      <c r="K6" s="1" t="str">
        <f>$A$8</f>
        <v>Overcast</v>
      </c>
      <c r="L6" s="1" t="str">
        <f>$A$9</f>
        <v>Cloudy</v>
      </c>
    </row>
    <row r="7" spans="1:12" x14ac:dyDescent="0.3">
      <c r="A7" s="1" t="str">
        <f>INDEX(precipTable[],B7,MATCH('General sheet'!$M$14,precipTable[#Headers],0))</f>
        <v>Drizzle</v>
      </c>
      <c r="B7" s="1">
        <v>4</v>
      </c>
      <c r="C7" s="1">
        <v>10.416666666699999</v>
      </c>
      <c r="D7" s="4">
        <v>4</v>
      </c>
      <c r="E7" s="1" t="str">
        <f t="shared" si="1"/>
        <v>Rain</v>
      </c>
      <c r="F7" s="1" t="str">
        <f>$A$4</f>
        <v>Heavy Rain</v>
      </c>
      <c r="G7" s="1" t="str">
        <f>$A$6</f>
        <v>Heavy Fog</v>
      </c>
      <c r="H7" s="1" t="str">
        <f>$A$6</f>
        <v>Heavy Fog</v>
      </c>
      <c r="I7" s="1" t="str">
        <f>$A$7</f>
        <v>Drizzle</v>
      </c>
      <c r="J7" s="1" t="str">
        <f>$A$9</f>
        <v>Cloudy</v>
      </c>
      <c r="K7" s="1" t="str">
        <f>$A$9</f>
        <v>Cloudy</v>
      </c>
      <c r="L7" s="1" t="str">
        <f>$A$10</f>
        <v>Mostly Clear</v>
      </c>
    </row>
    <row r="8" spans="1:12" x14ac:dyDescent="0.3">
      <c r="A8" s="1" t="str">
        <f>INDEX(precipTable[],B8,MATCH('General sheet'!$M$14,precipTable[#Headers],0))</f>
        <v>Overcast</v>
      </c>
      <c r="B8" s="1">
        <v>5</v>
      </c>
      <c r="C8" s="1">
        <v>13.541666666699999</v>
      </c>
      <c r="D8" s="4">
        <v>5</v>
      </c>
      <c r="E8" s="1" t="str">
        <f t="shared" si="1"/>
        <v>Rain</v>
      </c>
      <c r="F8" s="1" t="str">
        <f>$A$6</f>
        <v>Heavy Fog</v>
      </c>
      <c r="G8" s="1" t="str">
        <f>$A$6</f>
        <v>Heavy Fog</v>
      </c>
      <c r="H8" s="1" t="str">
        <f>$A$7</f>
        <v>Drizzle</v>
      </c>
      <c r="I8" s="1" t="str">
        <f>$A$7</f>
        <v>Drizzle</v>
      </c>
      <c r="J8" s="1" t="str">
        <f>$A$8</f>
        <v>Overcast</v>
      </c>
      <c r="K8" s="1" t="str">
        <f>$A$10</f>
        <v>Mostly Clear</v>
      </c>
      <c r="L8" s="1" t="str">
        <f>$A$9</f>
        <v>Cloudy</v>
      </c>
    </row>
    <row r="9" spans="1:12" x14ac:dyDescent="0.3">
      <c r="A9" s="1" t="str">
        <f>INDEX(precipTable[],B9,MATCH('General sheet'!$M$14,precipTable[#Headers],0))</f>
        <v>Cloudy</v>
      </c>
      <c r="B9" s="1">
        <v>6</v>
      </c>
      <c r="C9" s="1">
        <v>15.625</v>
      </c>
      <c r="D9" s="4">
        <v>6</v>
      </c>
      <c r="E9" s="1" t="str">
        <f t="shared" si="1"/>
        <v>Rain</v>
      </c>
      <c r="F9" s="1" t="str">
        <f>$A$4</f>
        <v>Heavy Rain</v>
      </c>
      <c r="G9" s="1" t="str">
        <f>$A$5</f>
        <v>Rain</v>
      </c>
      <c r="H9" s="1" t="str">
        <f>$A$6</f>
        <v>Heavy Fog</v>
      </c>
      <c r="I9" s="1" t="str">
        <f>$A$8</f>
        <v>Overcast</v>
      </c>
      <c r="J9" s="1" t="str">
        <f>$A$8</f>
        <v>Overcast</v>
      </c>
      <c r="K9" s="1" t="str">
        <f>$A$9</f>
        <v>Cloudy</v>
      </c>
      <c r="L9" s="1" t="str">
        <f>$A$10</f>
        <v>Mostly Clear</v>
      </c>
    </row>
    <row r="10" spans="1:12" x14ac:dyDescent="0.3">
      <c r="A10" s="1" t="str">
        <f>INDEX(precipTable[],B10,MATCH('General sheet'!$M$14,precipTable[#Headers],0))</f>
        <v>Mostly Clear</v>
      </c>
      <c r="B10" s="1">
        <v>7</v>
      </c>
      <c r="C10" s="1">
        <v>15.625</v>
      </c>
      <c r="D10" s="4">
        <v>7</v>
      </c>
      <c r="E10" s="1" t="str">
        <f t="shared" si="1"/>
        <v>Rain</v>
      </c>
      <c r="F10" s="1" t="str">
        <f>$A$6</f>
        <v>Heavy Fog</v>
      </c>
      <c r="G10" s="1" t="str">
        <f>$A$7</f>
        <v>Drizzle</v>
      </c>
      <c r="H10" s="1" t="str">
        <f>$A$8</f>
        <v>Overcast</v>
      </c>
      <c r="I10" s="1" t="str">
        <f>$A$8</f>
        <v>Overcast</v>
      </c>
      <c r="J10" s="1" t="str">
        <f>$A$10</f>
        <v>Mostly Clear</v>
      </c>
      <c r="K10" s="1" t="str">
        <f>$A$11</f>
        <v>Clear</v>
      </c>
      <c r="L10" s="1" t="str">
        <f>$A$10</f>
        <v>Mostly Clear</v>
      </c>
    </row>
    <row r="11" spans="1:12" x14ac:dyDescent="0.3">
      <c r="A11" s="1" t="str">
        <f>INDEX(precipTable[],B11,MATCH('General sheet'!$M$14,precipTable[#Headers],0))</f>
        <v>Clear</v>
      </c>
      <c r="B11" s="1">
        <v>8</v>
      </c>
      <c r="C11" s="1">
        <v>13.541666666699999</v>
      </c>
      <c r="D11" s="4">
        <v>8</v>
      </c>
      <c r="E11" s="1" t="str">
        <f t="shared" ref="E11:E15" si="2">$A$6</f>
        <v>Heavy Fog</v>
      </c>
      <c r="F11" s="1" t="str">
        <f>$A$5</f>
        <v>Rain</v>
      </c>
      <c r="G11" s="1" t="str">
        <f>$A$7</f>
        <v>Drizzle</v>
      </c>
      <c r="H11" s="1" t="str">
        <f>$A$7</f>
        <v>Drizzle</v>
      </c>
      <c r="I11" s="1" t="str">
        <f>$A$9</f>
        <v>Cloudy</v>
      </c>
      <c r="J11" s="1" t="str">
        <f>$A$9</f>
        <v>Cloudy</v>
      </c>
      <c r="K11" s="1" t="str">
        <f>$A$9</f>
        <v>Cloudy</v>
      </c>
      <c r="L11" s="1" t="str">
        <f>$A$10</f>
        <v>Mostly Clear</v>
      </c>
    </row>
    <row r="12" spans="1:12" x14ac:dyDescent="0.3">
      <c r="C12" s="1">
        <v>10.416666666699999</v>
      </c>
      <c r="D12" s="4">
        <v>9</v>
      </c>
      <c r="E12" s="1" t="str">
        <f t="shared" si="1"/>
        <v>Rain</v>
      </c>
      <c r="F12" s="1" t="str">
        <f>$A$6</f>
        <v>Heavy Fog</v>
      </c>
      <c r="G12" s="1" t="str">
        <f>$A$6</f>
        <v>Heavy Fog</v>
      </c>
      <c r="H12" s="1" t="str">
        <f>$A$8</f>
        <v>Overcast</v>
      </c>
      <c r="I12" s="1" t="str">
        <f>$A$9</f>
        <v>Cloudy</v>
      </c>
      <c r="J12" s="1" t="str">
        <f>$A$9</f>
        <v>Cloudy</v>
      </c>
      <c r="K12" s="1" t="str">
        <f>$A$11</f>
        <v>Clear</v>
      </c>
      <c r="L12" s="1" t="str">
        <f>$A$10</f>
        <v>Mostly Clear</v>
      </c>
    </row>
    <row r="13" spans="1:12" x14ac:dyDescent="0.3">
      <c r="C13" s="1">
        <v>6.25</v>
      </c>
      <c r="D13" s="4">
        <v>10</v>
      </c>
      <c r="E13" s="1" t="str">
        <f t="shared" si="2"/>
        <v>Heavy Fog</v>
      </c>
      <c r="F13" s="1" t="str">
        <f>$A$7</f>
        <v>Drizzle</v>
      </c>
      <c r="G13" s="1" t="str">
        <f>$A$8</f>
        <v>Overcast</v>
      </c>
      <c r="H13" s="1" t="str">
        <f>$A$9</f>
        <v>Cloudy</v>
      </c>
      <c r="I13" s="1" t="str">
        <f>$A$10</f>
        <v>Mostly Clear</v>
      </c>
      <c r="J13" s="1" t="str">
        <f>$A$11</f>
        <v>Clear</v>
      </c>
      <c r="K13" s="1" t="str">
        <f>$A$11</f>
        <v>Clear</v>
      </c>
      <c r="L13" s="1" t="str">
        <f>$A$10</f>
        <v>Mostly Clear</v>
      </c>
    </row>
    <row r="14" spans="1:12" x14ac:dyDescent="0.3">
      <c r="C14" s="1">
        <v>3.125</v>
      </c>
      <c r="D14" s="4">
        <v>11</v>
      </c>
      <c r="E14" s="1" t="str">
        <f t="shared" si="2"/>
        <v>Heavy Fog</v>
      </c>
      <c r="F14" s="1" t="str">
        <f t="shared" ref="F14:F15" si="3">$A$7</f>
        <v>Drizzle</v>
      </c>
      <c r="G14" s="1" t="str">
        <f>$A$8</f>
        <v>Overcast</v>
      </c>
      <c r="H14" s="1" t="str">
        <f>$A$9</f>
        <v>Cloudy</v>
      </c>
      <c r="I14" s="1" t="str">
        <f>$A$10</f>
        <v>Mostly Clear</v>
      </c>
      <c r="J14" s="1" t="str">
        <f>$A$11</f>
        <v>Clear</v>
      </c>
      <c r="K14" s="1" t="str">
        <f>$A$11</f>
        <v>Clear</v>
      </c>
      <c r="L14" s="1" t="str">
        <f>$A$11</f>
        <v>Clear</v>
      </c>
    </row>
    <row r="15" spans="1:12" x14ac:dyDescent="0.3">
      <c r="C15" s="1">
        <v>1.0416666666700001</v>
      </c>
      <c r="D15" s="4">
        <v>12</v>
      </c>
      <c r="E15" s="1" t="str">
        <f t="shared" si="2"/>
        <v>Heavy Fog</v>
      </c>
      <c r="F15" s="1" t="str">
        <f t="shared" si="3"/>
        <v>Drizzle</v>
      </c>
      <c r="G15" s="1" t="str">
        <f>$A$8</f>
        <v>Overcast</v>
      </c>
      <c r="H15" s="1" t="str">
        <f>$A$9</f>
        <v>Cloudy</v>
      </c>
      <c r="I15" s="1" t="str">
        <f>$A$10</f>
        <v>Mostly Clear</v>
      </c>
      <c r="J15" s="1" t="str">
        <f>$A$11</f>
        <v>Clear</v>
      </c>
      <c r="K15" s="1" t="str">
        <f>$A$11</f>
        <v>Clear</v>
      </c>
      <c r="L15" s="1" t="str">
        <f>$A$11</f>
        <v>Clear</v>
      </c>
    </row>
    <row r="16" spans="1:12" x14ac:dyDescent="0.3">
      <c r="D16" s="5"/>
    </row>
    <row r="18" spans="1:8" ht="13.8" customHeight="1" x14ac:dyDescent="0.3">
      <c r="A18" s="94" t="s">
        <v>151</v>
      </c>
      <c r="B18" s="94"/>
      <c r="C18" s="94"/>
      <c r="D18" s="94"/>
      <c r="E18" s="94"/>
      <c r="F18" s="94"/>
      <c r="G18" s="94"/>
      <c r="H18" s="94"/>
    </row>
    <row r="19" spans="1:8" x14ac:dyDescent="0.3">
      <c r="A19" s="2" t="s">
        <v>64</v>
      </c>
      <c r="B19" s="2" t="s">
        <v>77</v>
      </c>
      <c r="C19" s="2" t="s">
        <v>78</v>
      </c>
      <c r="D19" s="2" t="s">
        <v>67</v>
      </c>
      <c r="E19" s="2" t="s">
        <v>68</v>
      </c>
    </row>
    <row r="20" spans="1:8" x14ac:dyDescent="0.3">
      <c r="A20" s="1" t="s">
        <v>7</v>
      </c>
      <c r="B20" s="1" t="s">
        <v>7</v>
      </c>
      <c r="C20" s="1" t="s">
        <v>9</v>
      </c>
      <c r="D20" s="1" t="s">
        <v>7</v>
      </c>
      <c r="E20" s="1" t="s">
        <v>8</v>
      </c>
    </row>
    <row r="21" spans="1:8" x14ac:dyDescent="0.3">
      <c r="A21" s="1" t="s">
        <v>8</v>
      </c>
      <c r="B21" s="1" t="s">
        <v>8</v>
      </c>
      <c r="C21" s="1" t="s">
        <v>10</v>
      </c>
      <c r="D21" s="1" t="s">
        <v>8</v>
      </c>
      <c r="E21" s="1" t="s">
        <v>9</v>
      </c>
    </row>
    <row r="22" spans="1:8" x14ac:dyDescent="0.3">
      <c r="A22" s="1" t="s">
        <v>9</v>
      </c>
      <c r="B22" s="1" t="s">
        <v>9</v>
      </c>
      <c r="C22" s="1" t="s">
        <v>12</v>
      </c>
      <c r="D22" s="1" t="s">
        <v>9</v>
      </c>
      <c r="E22" s="1" t="s">
        <v>10</v>
      </c>
    </row>
    <row r="23" spans="1:8" x14ac:dyDescent="0.3">
      <c r="A23" s="1" t="s">
        <v>10</v>
      </c>
      <c r="B23" s="1" t="s">
        <v>71</v>
      </c>
      <c r="C23" s="1" t="s">
        <v>11</v>
      </c>
      <c r="D23" s="1" t="s">
        <v>10</v>
      </c>
      <c r="E23" s="1" t="s">
        <v>12</v>
      </c>
    </row>
    <row r="24" spans="1:8" x14ac:dyDescent="0.3">
      <c r="A24" s="1" t="s">
        <v>12</v>
      </c>
      <c r="B24" s="1" t="s">
        <v>72</v>
      </c>
      <c r="C24" s="1" t="s">
        <v>76</v>
      </c>
      <c r="D24" s="1" t="s">
        <v>79</v>
      </c>
      <c r="E24" s="1" t="s">
        <v>11</v>
      </c>
    </row>
    <row r="25" spans="1:8" x14ac:dyDescent="0.3">
      <c r="A25" s="1" t="s">
        <v>11</v>
      </c>
      <c r="B25" s="1" t="s">
        <v>10</v>
      </c>
      <c r="C25" s="1" t="s">
        <v>75</v>
      </c>
      <c r="D25" s="1" t="s">
        <v>12</v>
      </c>
      <c r="E25" s="1" t="s">
        <v>14</v>
      </c>
    </row>
    <row r="26" spans="1:8" x14ac:dyDescent="0.3">
      <c r="A26" s="1" t="s">
        <v>14</v>
      </c>
      <c r="B26" s="1" t="s">
        <v>12</v>
      </c>
      <c r="C26" s="1" t="s">
        <v>14</v>
      </c>
      <c r="D26" s="1" t="s">
        <v>11</v>
      </c>
      <c r="E26" s="1" t="s">
        <v>76</v>
      </c>
    </row>
    <row r="27" spans="1:8" x14ac:dyDescent="0.3">
      <c r="A27" s="1" t="s">
        <v>13</v>
      </c>
      <c r="B27" s="1" t="s">
        <v>11</v>
      </c>
      <c r="C27" s="1" t="s">
        <v>13</v>
      </c>
      <c r="D27" s="1" t="s">
        <v>14</v>
      </c>
      <c r="E27" s="1" t="s">
        <v>13</v>
      </c>
    </row>
  </sheetData>
  <mergeCells count="1">
    <mergeCell ref="A18:H18"/>
  </mergeCell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48DFA-9D08-443F-96FB-6B52FECD8896}">
  <sheetPr codeName="Sheet8"/>
  <dimension ref="A1:L27"/>
  <sheetViews>
    <sheetView workbookViewId="0">
      <selection activeCell="A2" sqref="A2"/>
    </sheetView>
  </sheetViews>
  <sheetFormatPr defaultRowHeight="13.8" x14ac:dyDescent="0.3"/>
  <cols>
    <col min="1" max="2" width="8.88671875" style="1"/>
    <col min="3" max="3" width="20.44140625" style="1" customWidth="1"/>
    <col min="4" max="4" width="20.88671875" style="1" customWidth="1"/>
    <col min="5" max="5" width="19.5546875" style="1" customWidth="1"/>
    <col min="6" max="6" width="20.5546875" style="1" customWidth="1"/>
    <col min="7" max="7" width="16" style="1" customWidth="1"/>
    <col min="8" max="8" width="18.44140625" style="1" customWidth="1"/>
    <col min="9" max="9" width="13.77734375" style="1" customWidth="1"/>
    <col min="10" max="10" width="13.33203125" style="1" customWidth="1"/>
    <col min="11" max="11" width="13.21875" style="1" customWidth="1"/>
    <col min="12" max="16384" width="8.88671875" style="1"/>
  </cols>
  <sheetData>
    <row r="1" spans="1:12" x14ac:dyDescent="0.3">
      <c r="E1" s="1">
        <v>1</v>
      </c>
      <c r="F1" s="1">
        <v>2</v>
      </c>
      <c r="G1" s="1">
        <v>3</v>
      </c>
      <c r="H1" s="1">
        <v>4</v>
      </c>
      <c r="I1" s="1">
        <v>5</v>
      </c>
      <c r="J1" s="1">
        <v>6</v>
      </c>
      <c r="K1" s="1">
        <v>7</v>
      </c>
      <c r="L1" s="1">
        <v>8</v>
      </c>
    </row>
    <row r="2" spans="1:12" x14ac:dyDescent="0.3">
      <c r="A2" s="8" t="str">
        <f>INDEX(Wind!A9:A11,MOD('General sheet'!M16*11,3)+1)</f>
        <v>Calm</v>
      </c>
    </row>
    <row r="3" spans="1:12" x14ac:dyDescent="0.3">
      <c r="C3" s="7" t="s">
        <v>62</v>
      </c>
      <c r="E3" s="2" t="str">
        <f>$A$4</f>
        <v>Vortex</v>
      </c>
      <c r="F3" s="2" t="str">
        <f>$A$5</f>
        <v>Storm</v>
      </c>
      <c r="G3" s="2" t="str">
        <f>$A$6</f>
        <v>Gale</v>
      </c>
      <c r="H3" s="2" t="str">
        <f>$A$7</f>
        <v>Light Gale</v>
      </c>
      <c r="I3" s="2" t="str">
        <f>$A$8</f>
        <v>Gusty</v>
      </c>
      <c r="J3" s="2" t="str">
        <f>$A$9</f>
        <v>Breeze</v>
      </c>
      <c r="K3" s="2" t="str">
        <f>$A$10</f>
        <v>Light Breeze</v>
      </c>
      <c r="L3" s="2" t="str">
        <f>$A$11</f>
        <v>Calm</v>
      </c>
    </row>
    <row r="4" spans="1:12" x14ac:dyDescent="0.3">
      <c r="A4" s="1" t="str">
        <f>INDEX(windTable[],B4,MATCH('General sheet'!$N$14,windTable[#Headers],0))</f>
        <v>Vortex</v>
      </c>
      <c r="B4" s="1">
        <v>1</v>
      </c>
      <c r="C4" s="1">
        <v>1.0416666666700001</v>
      </c>
      <c r="D4" s="4">
        <v>1</v>
      </c>
      <c r="E4" s="1" t="str">
        <f>$A$4</f>
        <v>Vortex</v>
      </c>
      <c r="F4" s="1" t="str">
        <f t="shared" ref="F4:G6" si="0">$A$4</f>
        <v>Vortex</v>
      </c>
      <c r="G4" s="1" t="str">
        <f t="shared" si="0"/>
        <v>Vortex</v>
      </c>
      <c r="H4" s="1" t="str">
        <f>$A$5</f>
        <v>Storm</v>
      </c>
      <c r="I4" s="1" t="str">
        <f>$A$6</f>
        <v>Gale</v>
      </c>
      <c r="J4" s="1" t="str">
        <f>$A$7</f>
        <v>Light Gale</v>
      </c>
      <c r="K4" s="1" t="str">
        <f>$A$8</f>
        <v>Gusty</v>
      </c>
      <c r="L4" s="1" t="str">
        <f>$A$9</f>
        <v>Breeze</v>
      </c>
    </row>
    <row r="5" spans="1:12" x14ac:dyDescent="0.3">
      <c r="A5" s="1" t="str">
        <f>INDEX(windTable[],B5,MATCH('General sheet'!$N$14,windTable[#Headers],0))</f>
        <v>Storm</v>
      </c>
      <c r="B5" s="1">
        <v>2</v>
      </c>
      <c r="C5" s="1">
        <v>3.125</v>
      </c>
      <c r="D5" s="4">
        <v>2</v>
      </c>
      <c r="E5" s="1" t="str">
        <f>$A$4</f>
        <v>Vortex</v>
      </c>
      <c r="F5" s="1" t="str">
        <f t="shared" si="0"/>
        <v>Vortex</v>
      </c>
      <c r="G5" s="1" t="str">
        <f t="shared" si="0"/>
        <v>Vortex</v>
      </c>
      <c r="H5" s="1" t="str">
        <f>$A$5</f>
        <v>Storm</v>
      </c>
      <c r="I5" s="1" t="str">
        <f>$A$6</f>
        <v>Gale</v>
      </c>
      <c r="J5" s="1" t="str">
        <f>$A$7</f>
        <v>Light Gale</v>
      </c>
      <c r="K5" s="1" t="str">
        <f>$A$8</f>
        <v>Gusty</v>
      </c>
      <c r="L5" s="1" t="str">
        <f>$A$9</f>
        <v>Breeze</v>
      </c>
    </row>
    <row r="6" spans="1:12" x14ac:dyDescent="0.3">
      <c r="A6" s="1" t="str">
        <f>INDEX(windTable[],B6,MATCH('General sheet'!$N$14,windTable[#Headers],0))</f>
        <v>Gale</v>
      </c>
      <c r="B6" s="1">
        <v>3</v>
      </c>
      <c r="C6" s="1">
        <v>6.25</v>
      </c>
      <c r="D6" s="4">
        <v>3</v>
      </c>
      <c r="E6" s="1" t="str">
        <f t="shared" ref="E6:E12" si="1">$A$5</f>
        <v>Storm</v>
      </c>
      <c r="F6" s="1" t="str">
        <f t="shared" si="0"/>
        <v>Vortex</v>
      </c>
      <c r="G6" s="1" t="str">
        <f t="shared" si="0"/>
        <v>Vortex</v>
      </c>
      <c r="H6" s="1" t="str">
        <f>$A$5</f>
        <v>Storm</v>
      </c>
      <c r="I6" s="1" t="str">
        <f>$A$6</f>
        <v>Gale</v>
      </c>
      <c r="J6" s="1" t="str">
        <f>$A$7</f>
        <v>Light Gale</v>
      </c>
      <c r="K6" s="1" t="str">
        <f>$A$8</f>
        <v>Gusty</v>
      </c>
      <c r="L6" s="1" t="str">
        <f>$A$9</f>
        <v>Breeze</v>
      </c>
    </row>
    <row r="7" spans="1:12" x14ac:dyDescent="0.3">
      <c r="A7" s="1" t="str">
        <f>INDEX(windTable[],B7,MATCH('General sheet'!$N$14,windTable[#Headers],0))</f>
        <v>Light Gale</v>
      </c>
      <c r="B7" s="1">
        <v>4</v>
      </c>
      <c r="C7" s="1">
        <v>10.416666666699999</v>
      </c>
      <c r="D7" s="4">
        <v>4</v>
      </c>
      <c r="E7" s="1" t="str">
        <f t="shared" si="1"/>
        <v>Storm</v>
      </c>
      <c r="F7" s="1" t="str">
        <f>$A$4</f>
        <v>Vortex</v>
      </c>
      <c r="G7" s="1" t="str">
        <f>$A$6</f>
        <v>Gale</v>
      </c>
      <c r="H7" s="1" t="str">
        <f>$A$6</f>
        <v>Gale</v>
      </c>
      <c r="I7" s="1" t="str">
        <f>$A$7</f>
        <v>Light Gale</v>
      </c>
      <c r="J7" s="1" t="str">
        <f>$A$9</f>
        <v>Breeze</v>
      </c>
      <c r="K7" s="1" t="str">
        <f>$A$9</f>
        <v>Breeze</v>
      </c>
      <c r="L7" s="1" t="str">
        <f>$A$10</f>
        <v>Light Breeze</v>
      </c>
    </row>
    <row r="8" spans="1:12" x14ac:dyDescent="0.3">
      <c r="A8" s="1" t="str">
        <f>INDEX(windTable[],B8,MATCH('General sheet'!$N$14,windTable[#Headers],0))</f>
        <v>Gusty</v>
      </c>
      <c r="B8" s="1">
        <v>5</v>
      </c>
      <c r="C8" s="1">
        <v>13.541666666699999</v>
      </c>
      <c r="D8" s="4">
        <v>5</v>
      </c>
      <c r="E8" s="1" t="str">
        <f t="shared" si="1"/>
        <v>Storm</v>
      </c>
      <c r="F8" s="1" t="str">
        <f>$A$6</f>
        <v>Gale</v>
      </c>
      <c r="G8" s="1" t="str">
        <f>$A$6</f>
        <v>Gale</v>
      </c>
      <c r="H8" s="1" t="str">
        <f>$A$7</f>
        <v>Light Gale</v>
      </c>
      <c r="I8" s="1" t="str">
        <f>$A$7</f>
        <v>Light Gale</v>
      </c>
      <c r="J8" s="1" t="str">
        <f>$A$8</f>
        <v>Gusty</v>
      </c>
      <c r="K8" s="1" t="str">
        <f>$A$10</f>
        <v>Light Breeze</v>
      </c>
      <c r="L8" s="1" t="str">
        <f>$A$9</f>
        <v>Breeze</v>
      </c>
    </row>
    <row r="9" spans="1:12" x14ac:dyDescent="0.3">
      <c r="A9" s="1" t="str">
        <f>INDEX(windTable[],B9,MATCH('General sheet'!$N$14,windTable[#Headers],0))</f>
        <v>Breeze</v>
      </c>
      <c r="B9" s="1">
        <v>6</v>
      </c>
      <c r="C9" s="1">
        <v>15.625</v>
      </c>
      <c r="D9" s="4">
        <v>6</v>
      </c>
      <c r="E9" s="1" t="str">
        <f t="shared" si="1"/>
        <v>Storm</v>
      </c>
      <c r="F9" s="1" t="str">
        <f>$A$4</f>
        <v>Vortex</v>
      </c>
      <c r="G9" s="1" t="str">
        <f>$A$5</f>
        <v>Storm</v>
      </c>
      <c r="H9" s="1" t="str">
        <f>$A$6</f>
        <v>Gale</v>
      </c>
      <c r="I9" s="1" t="str">
        <f>$A$8</f>
        <v>Gusty</v>
      </c>
      <c r="J9" s="1" t="str">
        <f>$A$8</f>
        <v>Gusty</v>
      </c>
      <c r="K9" s="1" t="str">
        <f>$A$9</f>
        <v>Breeze</v>
      </c>
      <c r="L9" s="1" t="str">
        <f>$A$10</f>
        <v>Light Breeze</v>
      </c>
    </row>
    <row r="10" spans="1:12" x14ac:dyDescent="0.3">
      <c r="A10" s="1" t="str">
        <f>INDEX(windTable[],B10,MATCH('General sheet'!$N$14,windTable[#Headers],0))</f>
        <v>Light Breeze</v>
      </c>
      <c r="B10" s="1">
        <v>7</v>
      </c>
      <c r="C10" s="1">
        <v>15.625</v>
      </c>
      <c r="D10" s="4">
        <v>7</v>
      </c>
      <c r="E10" s="1" t="str">
        <f t="shared" si="1"/>
        <v>Storm</v>
      </c>
      <c r="F10" s="1" t="str">
        <f>$A$6</f>
        <v>Gale</v>
      </c>
      <c r="G10" s="1" t="str">
        <f>$A$7</f>
        <v>Light Gale</v>
      </c>
      <c r="H10" s="1" t="str">
        <f>$A$8</f>
        <v>Gusty</v>
      </c>
      <c r="I10" s="1" t="str">
        <f>$A$8</f>
        <v>Gusty</v>
      </c>
      <c r="J10" s="1" t="str">
        <f>$A$10</f>
        <v>Light Breeze</v>
      </c>
      <c r="K10" s="1" t="str">
        <f>$A$11</f>
        <v>Calm</v>
      </c>
      <c r="L10" s="1" t="str">
        <f>$A$10</f>
        <v>Light Breeze</v>
      </c>
    </row>
    <row r="11" spans="1:12" x14ac:dyDescent="0.3">
      <c r="A11" s="1" t="str">
        <f>INDEX(windTable[],B11,MATCH('General sheet'!$N$14,windTable[#Headers],0))</f>
        <v>Calm</v>
      </c>
      <c r="B11" s="1">
        <v>8</v>
      </c>
      <c r="C11" s="1">
        <v>13.541666666699999</v>
      </c>
      <c r="D11" s="4">
        <v>8</v>
      </c>
      <c r="E11" s="1" t="str">
        <f t="shared" ref="E11:E15" si="2">$A$6</f>
        <v>Gale</v>
      </c>
      <c r="F11" s="1" t="str">
        <f>$A$5</f>
        <v>Storm</v>
      </c>
      <c r="G11" s="1" t="str">
        <f>$A$7</f>
        <v>Light Gale</v>
      </c>
      <c r="H11" s="1" t="str">
        <f>$A$7</f>
        <v>Light Gale</v>
      </c>
      <c r="I11" s="1" t="str">
        <f>$A$9</f>
        <v>Breeze</v>
      </c>
      <c r="J11" s="1" t="str">
        <f>$A$9</f>
        <v>Breeze</v>
      </c>
      <c r="K11" s="1" t="str">
        <f>$A$9</f>
        <v>Breeze</v>
      </c>
      <c r="L11" s="1" t="str">
        <f>$A$10</f>
        <v>Light Breeze</v>
      </c>
    </row>
    <row r="12" spans="1:12" x14ac:dyDescent="0.3">
      <c r="C12" s="1">
        <v>10.416666666699999</v>
      </c>
      <c r="D12" s="4">
        <v>9</v>
      </c>
      <c r="E12" s="1" t="str">
        <f t="shared" si="1"/>
        <v>Storm</v>
      </c>
      <c r="F12" s="1" t="str">
        <f>$A$6</f>
        <v>Gale</v>
      </c>
      <c r="G12" s="1" t="str">
        <f>$A$6</f>
        <v>Gale</v>
      </c>
      <c r="H12" s="1" t="str">
        <f>$A$8</f>
        <v>Gusty</v>
      </c>
      <c r="I12" s="1" t="str">
        <f>$A$9</f>
        <v>Breeze</v>
      </c>
      <c r="J12" s="1" t="str">
        <f>$A$9</f>
        <v>Breeze</v>
      </c>
      <c r="K12" s="1" t="str">
        <f>$A$11</f>
        <v>Calm</v>
      </c>
      <c r="L12" s="1" t="str">
        <f>$A$10</f>
        <v>Light Breeze</v>
      </c>
    </row>
    <row r="13" spans="1:12" x14ac:dyDescent="0.3">
      <c r="C13" s="1">
        <v>6.25</v>
      </c>
      <c r="D13" s="4">
        <v>10</v>
      </c>
      <c r="E13" s="1" t="str">
        <f t="shared" si="2"/>
        <v>Gale</v>
      </c>
      <c r="F13" s="1" t="str">
        <f>$A$7</f>
        <v>Light Gale</v>
      </c>
      <c r="G13" s="1" t="str">
        <f>$A$8</f>
        <v>Gusty</v>
      </c>
      <c r="H13" s="1" t="str">
        <f>$A$9</f>
        <v>Breeze</v>
      </c>
      <c r="I13" s="1" t="str">
        <f>$A$10</f>
        <v>Light Breeze</v>
      </c>
      <c r="J13" s="1" t="str">
        <f>$A$11</f>
        <v>Calm</v>
      </c>
      <c r="K13" s="1" t="str">
        <f>$A$11</f>
        <v>Calm</v>
      </c>
      <c r="L13" s="1" t="str">
        <f>$A$10</f>
        <v>Light Breeze</v>
      </c>
    </row>
    <row r="14" spans="1:12" x14ac:dyDescent="0.3">
      <c r="C14" s="1">
        <v>3.125</v>
      </c>
      <c r="D14" s="4">
        <v>11</v>
      </c>
      <c r="E14" s="1" t="str">
        <f t="shared" si="2"/>
        <v>Gale</v>
      </c>
      <c r="F14" s="1" t="str">
        <f t="shared" ref="F14:F15" si="3">$A$7</f>
        <v>Light Gale</v>
      </c>
      <c r="G14" s="1" t="str">
        <f>$A$8</f>
        <v>Gusty</v>
      </c>
      <c r="H14" s="1" t="str">
        <f>$A$9</f>
        <v>Breeze</v>
      </c>
      <c r="I14" s="1" t="str">
        <f>$A$10</f>
        <v>Light Breeze</v>
      </c>
      <c r="J14" s="1" t="str">
        <f>$A$11</f>
        <v>Calm</v>
      </c>
      <c r="K14" s="1" t="str">
        <f>$A$11</f>
        <v>Calm</v>
      </c>
      <c r="L14" s="1" t="str">
        <f>$A$11</f>
        <v>Calm</v>
      </c>
    </row>
    <row r="15" spans="1:12" x14ac:dyDescent="0.3">
      <c r="C15" s="1">
        <v>1.0416666666700001</v>
      </c>
      <c r="D15" s="4">
        <v>12</v>
      </c>
      <c r="E15" s="1" t="str">
        <f t="shared" si="2"/>
        <v>Gale</v>
      </c>
      <c r="F15" s="1" t="str">
        <f t="shared" si="3"/>
        <v>Light Gale</v>
      </c>
      <c r="G15" s="1" t="str">
        <f>$A$8</f>
        <v>Gusty</v>
      </c>
      <c r="H15" s="1" t="str">
        <f>$A$9</f>
        <v>Breeze</v>
      </c>
      <c r="I15" s="1" t="str">
        <f>$A$10</f>
        <v>Light Breeze</v>
      </c>
      <c r="J15" s="1" t="str">
        <f>$A$11</f>
        <v>Calm</v>
      </c>
      <c r="K15" s="1" t="str">
        <f>$A$11</f>
        <v>Calm</v>
      </c>
      <c r="L15" s="1" t="str">
        <f>$A$11</f>
        <v>Calm</v>
      </c>
    </row>
    <row r="16" spans="1:12" x14ac:dyDescent="0.3">
      <c r="D16" s="5"/>
    </row>
    <row r="18" spans="1:8" x14ac:dyDescent="0.3">
      <c r="A18" s="94" t="s">
        <v>151</v>
      </c>
      <c r="B18" s="94"/>
      <c r="C18" s="94"/>
      <c r="D18" s="94"/>
      <c r="E18" s="94"/>
      <c r="F18" s="94"/>
      <c r="G18" s="94"/>
      <c r="H18" s="94"/>
    </row>
    <row r="19" spans="1:8" x14ac:dyDescent="0.3">
      <c r="A19" s="2" t="s">
        <v>134</v>
      </c>
      <c r="B19" s="2" t="s">
        <v>18</v>
      </c>
      <c r="C19" s="2" t="s">
        <v>135</v>
      </c>
      <c r="F19" s="2"/>
      <c r="G19" s="2"/>
    </row>
    <row r="20" spans="1:8" x14ac:dyDescent="0.3">
      <c r="A20" s="1" t="s">
        <v>46</v>
      </c>
      <c r="B20" s="1" t="s">
        <v>46</v>
      </c>
      <c r="C20" s="1" t="s">
        <v>21</v>
      </c>
    </row>
    <row r="21" spans="1:8" x14ac:dyDescent="0.3">
      <c r="A21" s="1" t="s">
        <v>15</v>
      </c>
      <c r="B21" s="1" t="s">
        <v>15</v>
      </c>
      <c r="C21" s="1" t="s">
        <v>19</v>
      </c>
    </row>
    <row r="22" spans="1:8" x14ac:dyDescent="0.3">
      <c r="A22" s="1" t="s">
        <v>16</v>
      </c>
      <c r="B22" s="1" t="s">
        <v>16</v>
      </c>
      <c r="C22" s="1" t="s">
        <v>16</v>
      </c>
    </row>
    <row r="23" spans="1:8" x14ac:dyDescent="0.3">
      <c r="A23" s="1" t="s">
        <v>17</v>
      </c>
      <c r="B23" s="1" t="s">
        <v>17</v>
      </c>
      <c r="C23" s="1" t="s">
        <v>17</v>
      </c>
    </row>
    <row r="24" spans="1:8" x14ac:dyDescent="0.3">
      <c r="A24" s="1" t="s">
        <v>18</v>
      </c>
      <c r="B24" s="1" t="s">
        <v>18</v>
      </c>
      <c r="C24" s="1" t="s">
        <v>138</v>
      </c>
    </row>
    <row r="25" spans="1:8" x14ac:dyDescent="0.3">
      <c r="A25" s="1" t="s">
        <v>20</v>
      </c>
      <c r="B25" s="1" t="s">
        <v>138</v>
      </c>
      <c r="C25" s="1" t="s">
        <v>20</v>
      </c>
    </row>
    <row r="26" spans="1:8" x14ac:dyDescent="0.3">
      <c r="A26" s="1" t="s">
        <v>19</v>
      </c>
      <c r="B26" s="1" t="s">
        <v>139</v>
      </c>
      <c r="C26" s="1" t="s">
        <v>137</v>
      </c>
    </row>
    <row r="27" spans="1:8" x14ac:dyDescent="0.3">
      <c r="A27" s="1" t="s">
        <v>21</v>
      </c>
      <c r="B27" s="1" t="s">
        <v>20</v>
      </c>
      <c r="C27" s="1" t="s">
        <v>136</v>
      </c>
    </row>
  </sheetData>
  <mergeCells count="1">
    <mergeCell ref="A18:H1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B1D45-1DC9-4ADC-A64A-22B32A30D40A}">
  <sheetPr codeName="Sheet9"/>
  <dimension ref="A1:F10"/>
  <sheetViews>
    <sheetView workbookViewId="0">
      <selection activeCell="B1" sqref="B1"/>
    </sheetView>
  </sheetViews>
  <sheetFormatPr defaultRowHeight="14.4" x14ac:dyDescent="0.3"/>
  <cols>
    <col min="1" max="1" width="10.44140625" customWidth="1"/>
    <col min="2" max="2" width="9.88671875" customWidth="1"/>
    <col min="6" max="6" width="14.21875" style="1" customWidth="1"/>
  </cols>
  <sheetData>
    <row r="1" spans="1:4" x14ac:dyDescent="0.3">
      <c r="A1" s="1"/>
      <c r="B1" s="1" t="str">
        <f>INDEX(weekDays[English],MAX(1,MOD('General sheet'!M16,ROWS(weekDays[]))))</f>
        <v>Freeday</v>
      </c>
      <c r="C1" s="1"/>
    </row>
    <row r="2" spans="1:4" x14ac:dyDescent="0.3">
      <c r="A2" s="1"/>
      <c r="B2" s="1"/>
      <c r="C2" s="1"/>
    </row>
    <row r="3" spans="1:4" x14ac:dyDescent="0.3">
      <c r="A3" t="s">
        <v>153</v>
      </c>
      <c r="B3" s="5" t="s">
        <v>143</v>
      </c>
    </row>
    <row r="4" spans="1:4" x14ac:dyDescent="0.3">
      <c r="A4" t="s">
        <v>25</v>
      </c>
      <c r="B4" s="5" t="s">
        <v>47</v>
      </c>
      <c r="D4" t="s">
        <v>144</v>
      </c>
    </row>
    <row r="5" spans="1:4" x14ac:dyDescent="0.3">
      <c r="A5" t="s">
        <v>26</v>
      </c>
      <c r="B5" s="5" t="s">
        <v>48</v>
      </c>
      <c r="D5" t="s">
        <v>145</v>
      </c>
    </row>
    <row r="6" spans="1:4" x14ac:dyDescent="0.3">
      <c r="A6" t="s">
        <v>27</v>
      </c>
      <c r="B6" s="5" t="s">
        <v>49</v>
      </c>
      <c r="D6" t="s">
        <v>146</v>
      </c>
    </row>
    <row r="7" spans="1:4" x14ac:dyDescent="0.3">
      <c r="A7" t="s">
        <v>28</v>
      </c>
      <c r="B7" s="5" t="s">
        <v>50</v>
      </c>
      <c r="D7" t="s">
        <v>147</v>
      </c>
    </row>
    <row r="8" spans="1:4" x14ac:dyDescent="0.3">
      <c r="A8" t="s">
        <v>29</v>
      </c>
      <c r="B8" s="5" t="s">
        <v>51</v>
      </c>
      <c r="D8" t="s">
        <v>148</v>
      </c>
    </row>
    <row r="9" spans="1:4" x14ac:dyDescent="0.3">
      <c r="A9" t="s">
        <v>30</v>
      </c>
      <c r="B9" s="5" t="s">
        <v>52</v>
      </c>
      <c r="D9" t="s">
        <v>149</v>
      </c>
    </row>
    <row r="10" spans="1:4" x14ac:dyDescent="0.3">
      <c r="A10" t="s">
        <v>31</v>
      </c>
      <c r="B10" s="5" t="s">
        <v>53</v>
      </c>
      <c r="D10" t="s">
        <v>150</v>
      </c>
    </row>
  </sheetData>
  <phoneticPr fontId="8"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4DB3-E43A-4657-B257-1C7C028C24A3}">
  <sheetPr codeName="Sheet10"/>
  <dimension ref="A1:M57"/>
  <sheetViews>
    <sheetView workbookViewId="0">
      <selection activeCell="C2" sqref="C2"/>
    </sheetView>
  </sheetViews>
  <sheetFormatPr defaultRowHeight="14.4" x14ac:dyDescent="0.3"/>
  <cols>
    <col min="1" max="1" width="12.88671875" customWidth="1"/>
    <col min="5" max="5" width="14.5546875" customWidth="1"/>
    <col min="6" max="6" width="13.21875" customWidth="1"/>
    <col min="7" max="7" width="10.77734375" customWidth="1"/>
    <col min="9" max="9" width="11" bestFit="1" customWidth="1"/>
    <col min="13" max="13" width="12.77734375" customWidth="1"/>
  </cols>
  <sheetData>
    <row r="1" spans="1:13" x14ac:dyDescent="0.3">
      <c r="A1" s="61" t="s">
        <v>23</v>
      </c>
      <c r="E1" s="61" t="s">
        <v>140</v>
      </c>
      <c r="I1" s="61" t="s">
        <v>24</v>
      </c>
      <c r="M1" s="61"/>
    </row>
    <row r="2" spans="1:13" x14ac:dyDescent="0.3">
      <c r="A2">
        <f>MOD(2*LEN('General sheet'!E3)*MATCH('General sheet'!E3,Temp!$A$4:$A$11,0)*48271*'General sheet'!$M$16,2^31-1)</f>
        <v>952675405</v>
      </c>
      <c r="B2">
        <f>A2/(2^31-1)</f>
        <v>0.44362405568530039</v>
      </c>
      <c r="C2">
        <f>MIN(12,MAX(ROUND(_xlfn.NORM.INV(B2,6.5,2.33),0),1))</f>
        <v>6</v>
      </c>
      <c r="E2">
        <f>MOD(2*LEN('General sheet'!F3)*MATCH('General sheet'!F3,Precip!$A$4:$A$11,0)*48271*'General sheet'!$M$16,2^31-1)</f>
        <v>113138447</v>
      </c>
      <c r="F2">
        <f>E2/(2^31-1)</f>
        <v>5.2684194898551417E-2</v>
      </c>
      <c r="G2">
        <f>MIN(12,MAX(ROUND(_xlfn.NORM.INV(F2,6.5,2.33),0),1))</f>
        <v>3</v>
      </c>
      <c r="I2">
        <f>MOD(2*LEN('General sheet'!G3)*MATCH('General sheet'!G3,Wind!$A$4:$A$11,0)*48271*'General sheet'!$M$16,2^31-1)</f>
        <v>554405991</v>
      </c>
      <c r="J2">
        <f>I2/(2^31-1)</f>
        <v>0.25816540758040052</v>
      </c>
      <c r="K2">
        <f>MIN(12,MAX(ROUND(_xlfn.NORM.INV(J2,6.5,2.33),0),1))</f>
        <v>5</v>
      </c>
    </row>
    <row r="3" spans="1:13" x14ac:dyDescent="0.3">
      <c r="A3">
        <f>MOD(48271*A2*CEILING(SQRT(ROW(A3)*LEN('General sheet'!E4)*MATCH('General sheet'!E4,Temp!$A$4:$A$11,0)),1),2^31-1)</f>
        <v>260927470</v>
      </c>
      <c r="B3">
        <f t="shared" ref="B3:B57" si="0">A3/(2^31-1)</f>
        <v>0.12150382163073115</v>
      </c>
      <c r="C3">
        <f t="shared" ref="C3:C57" si="1">MIN(12,MAX(ROUND(_xlfn.NORM.INV(B3,6.5,2.33),0),1))</f>
        <v>4</v>
      </c>
      <c r="E3">
        <f>MOD(48271*E2*CEILING(SQRT(ROW(A3)*LEN('General sheet'!F4)*MATCH('General sheet'!F4,Precip!$A$4:$A$11,0)),1),2^31-1)</f>
        <v>658185329</v>
      </c>
      <c r="F3">
        <f t="shared" ref="F3:F57" si="2">E3/(2^31-1)</f>
        <v>0.30649142773192906</v>
      </c>
      <c r="G3">
        <f t="shared" ref="G3:G57" si="3">MIN(12,MAX(ROUND(_xlfn.NORM.INV(F3,6.5,2.33),0),1))</f>
        <v>5</v>
      </c>
      <c r="I3">
        <f>MOD(48271*I2*CEILING(SQRT(ROW(A3)*LEN('General sheet'!G4)*MATCH('General sheet'!G4,Wind!$A$4:$A$11,0)),1),2^31-1)</f>
        <v>1989176411</v>
      </c>
      <c r="J3">
        <f>I3/(2^31-1)</f>
        <v>0.92628244865978249</v>
      </c>
      <c r="K3">
        <f t="shared" ref="K3:K57" si="4">MIN(12,MAX(ROUND(_xlfn.NORM.INV(J3,6.5,2.33),0),1))</f>
        <v>10</v>
      </c>
    </row>
    <row r="4" spans="1:13" x14ac:dyDescent="0.3">
      <c r="A4">
        <f>MOD(48271*A3*CEILING(SQRT(ROW(A4)*LEN('General sheet'!E5)*MATCH('General sheet'!E5,Temp!$A$4:$A$11,0)),1),2^31-1)</f>
        <v>1188922363</v>
      </c>
      <c r="B4">
        <f t="shared" si="0"/>
        <v>0.55363511832134571</v>
      </c>
      <c r="C4">
        <f t="shared" si="1"/>
        <v>7</v>
      </c>
      <c r="E4">
        <f>MOD(48271*E3*CEILING(SQRT(ROW(A4)*LEN('General sheet'!F5)*MATCH('General sheet'!F5,Precip!$A$4:$A$11,0)),1),2^31-1)</f>
        <v>267981322</v>
      </c>
      <c r="F4">
        <f t="shared" si="2"/>
        <v>0.12478852743505897</v>
      </c>
      <c r="G4">
        <f t="shared" si="3"/>
        <v>4</v>
      </c>
      <c r="I4">
        <f>MOD(48271*I3*CEILING(SQRT(ROW(A4)*LEN('General sheet'!G5)*MATCH('General sheet'!G5,Wind!$A$4:$A$11,0)),1),2^31-1)</f>
        <v>2063626722</v>
      </c>
      <c r="J4">
        <f t="shared" ref="J4:J57" si="5">I4/(2^31-1)</f>
        <v>0.96095107633664789</v>
      </c>
      <c r="K4">
        <f t="shared" si="4"/>
        <v>11</v>
      </c>
    </row>
    <row r="5" spans="1:13" x14ac:dyDescent="0.3">
      <c r="A5">
        <f>MOD(48271*A4*CEILING(SQRT(ROW(A5)*LEN('General sheet'!E6)*MATCH('General sheet'!E6,Temp!$A$4:$A$11,0)),1),2^31-1)</f>
        <v>1565003160</v>
      </c>
      <c r="B5">
        <f t="shared" si="0"/>
        <v>0.72876138646563582</v>
      </c>
      <c r="C5">
        <f t="shared" si="1"/>
        <v>8</v>
      </c>
      <c r="E5">
        <f>MOD(48271*E4*CEILING(SQRT(ROW(A5)*LEN('General sheet'!F6)*MATCH('General sheet'!F6,Precip!$A$4:$A$11,0)),1),2^31-1)</f>
        <v>8791396</v>
      </c>
      <c r="F5">
        <f t="shared" si="2"/>
        <v>4.0938127804984398E-3</v>
      </c>
      <c r="G5">
        <f t="shared" si="3"/>
        <v>1</v>
      </c>
      <c r="I5">
        <f>MOD(48271*I4*CEILING(SQRT(ROW(A5)*LEN('General sheet'!G6)*MATCH('General sheet'!G6,Wind!$A$4:$A$11,0)),1),2^31-1)</f>
        <v>1937622960</v>
      </c>
      <c r="J5">
        <f t="shared" si="5"/>
        <v>0.90227600229078719</v>
      </c>
      <c r="K5">
        <f t="shared" si="4"/>
        <v>10</v>
      </c>
    </row>
    <row r="6" spans="1:13" x14ac:dyDescent="0.3">
      <c r="A6">
        <f>MOD(48271*A5*CEILING(SQRT(ROW(A6)*LEN('General sheet'!E7)*MATCH('General sheet'!E7,Temp!$A$4:$A$11,0)),1),2^31-1)</f>
        <v>1053626328</v>
      </c>
      <c r="B6">
        <f t="shared" si="0"/>
        <v>0.49063299246627512</v>
      </c>
      <c r="C6">
        <f t="shared" si="1"/>
        <v>6</v>
      </c>
      <c r="E6">
        <f>MOD(48271*E5*CEILING(SQRT(ROW(A6)*LEN('General sheet'!F7)*MATCH('General sheet'!F7,Precip!$A$4:$A$11,0)),1),2^31-1)</f>
        <v>1931648268</v>
      </c>
      <c r="F6">
        <f t="shared" si="2"/>
        <v>0.89949381952150442</v>
      </c>
      <c r="G6">
        <f t="shared" si="3"/>
        <v>9</v>
      </c>
      <c r="I6">
        <f>MOD(48271*I5*CEILING(SQRT(ROW(A6)*LEN('General sheet'!G7)*MATCH('General sheet'!G7,Wind!$A$4:$A$11,0)),1),2^31-1)</f>
        <v>1273138488</v>
      </c>
      <c r="J6">
        <f t="shared" si="5"/>
        <v>0.5928513075191767</v>
      </c>
      <c r="K6">
        <f t="shared" si="4"/>
        <v>7</v>
      </c>
    </row>
    <row r="7" spans="1:13" x14ac:dyDescent="0.3">
      <c r="A7">
        <f>MOD(48271*A6*CEILING(SQRT(ROW(A7)*LEN('General sheet'!E8)*MATCH('General sheet'!E8,Temp!$A$4:$A$11,0)),1),2^31-1)</f>
        <v>457903884</v>
      </c>
      <c r="B7">
        <f t="shared" si="0"/>
        <v>0.21322811218594578</v>
      </c>
      <c r="C7">
        <f t="shared" si="1"/>
        <v>5</v>
      </c>
      <c r="E7">
        <f>MOD(48271*E6*CEILING(SQRT(ROW(A7)*LEN('General sheet'!F8)*MATCH('General sheet'!F8,Precip!$A$4:$A$11,0)),1),2^31-1)</f>
        <v>1566153339</v>
      </c>
      <c r="F7">
        <f t="shared" si="2"/>
        <v>0.7292969802996595</v>
      </c>
      <c r="G7">
        <f t="shared" si="3"/>
        <v>8</v>
      </c>
      <c r="I7">
        <f>MOD(48271*I6*CEILING(SQRT(ROW(A7)*LEN('General sheet'!G8)*MATCH('General sheet'!G8,Wind!$A$4:$A$11,0)),1),2^31-1)</f>
        <v>1894035206</v>
      </c>
      <c r="J7">
        <f t="shared" si="5"/>
        <v>0.88197887264284258</v>
      </c>
      <c r="K7">
        <f t="shared" si="4"/>
        <v>9</v>
      </c>
    </row>
    <row r="8" spans="1:13" x14ac:dyDescent="0.3">
      <c r="A8">
        <f>MOD(48271*A7*CEILING(SQRT(ROW(A8)*LEN('General sheet'!E9)*MATCH('General sheet'!E9,Temp!$A$4:$A$11,0)),1),2^31-1)</f>
        <v>2039815749</v>
      </c>
      <c r="B8">
        <f t="shared" si="0"/>
        <v>0.94986322799225487</v>
      </c>
      <c r="C8">
        <f t="shared" si="1"/>
        <v>10</v>
      </c>
      <c r="E8">
        <f>MOD(48271*E7*CEILING(SQRT(ROW(A8)*LEN('General sheet'!F9)*MATCH('General sheet'!F9,Precip!$A$4:$A$11,0)),1),2^31-1)</f>
        <v>335626695</v>
      </c>
      <c r="F8">
        <f t="shared" si="2"/>
        <v>0.15628835892131943</v>
      </c>
      <c r="G8">
        <f t="shared" si="3"/>
        <v>4</v>
      </c>
      <c r="I8">
        <f>MOD(48271*I7*CEILING(SQRT(ROW(A8)*LEN('General sheet'!G9)*MATCH('General sheet'!G9,Wind!$A$4:$A$11,0)),1),2^31-1)</f>
        <v>120677648</v>
      </c>
      <c r="J8">
        <f t="shared" si="5"/>
        <v>5.6194908943118023E-2</v>
      </c>
      <c r="K8">
        <f t="shared" si="4"/>
        <v>3</v>
      </c>
    </row>
    <row r="9" spans="1:13" x14ac:dyDescent="0.3">
      <c r="A9">
        <f>MOD(48271*A8*CEILING(SQRT(ROW(A9)*LEN('General sheet'!E10)*MATCH('General sheet'!E10,Temp!$A$4:$A$11,0)),1),2^31-1)</f>
        <v>1868950289</v>
      </c>
      <c r="B9">
        <f t="shared" si="0"/>
        <v>0.87029779789517536</v>
      </c>
      <c r="C9">
        <f t="shared" si="1"/>
        <v>9</v>
      </c>
      <c r="E9">
        <f>MOD(48271*E8*CEILING(SQRT(ROW(A9)*LEN('General sheet'!F10)*MATCH('General sheet'!F10,Precip!$A$4:$A$11,0)),1),2^31-1)</f>
        <v>2048130123</v>
      </c>
      <c r="F9">
        <f t="shared" si="2"/>
        <v>0.95373491009405575</v>
      </c>
      <c r="G9">
        <f t="shared" si="3"/>
        <v>10</v>
      </c>
      <c r="I9">
        <f>MOD(48271*I8*CEILING(SQRT(ROW(A9)*LEN('General sheet'!G10)*MATCH('General sheet'!G10,Wind!$A$4:$A$11,0)),1),2^31-1)</f>
        <v>1646569984</v>
      </c>
      <c r="J9">
        <f t="shared" si="5"/>
        <v>0.76674389874876658</v>
      </c>
      <c r="K9">
        <f t="shared" si="4"/>
        <v>8</v>
      </c>
    </row>
    <row r="10" spans="1:13" x14ac:dyDescent="0.3">
      <c r="A10">
        <f>MOD(48271*A9*CEILING(SQRT(ROW(A10)*LEN('General sheet'!E11)*MATCH('General sheet'!E11,Temp!$A$4:$A$11,0)),1),2^31-1)</f>
        <v>687270290</v>
      </c>
      <c r="B10">
        <f t="shared" si="0"/>
        <v>0.32003516811879129</v>
      </c>
      <c r="C10">
        <f t="shared" si="1"/>
        <v>5</v>
      </c>
      <c r="E10">
        <f>MOD(48271*E9*CEILING(SQRT(ROW(A10)*LEN('General sheet'!F11)*MATCH('General sheet'!F11,Precip!$A$4:$A$11,0)),1),2^31-1)</f>
        <v>1166872934</v>
      </c>
      <c r="F10">
        <f t="shared" si="2"/>
        <v>0.54336755282402394</v>
      </c>
      <c r="G10">
        <f t="shared" si="3"/>
        <v>7</v>
      </c>
      <c r="I10">
        <f>MOD(48271*I9*CEILING(SQRT(ROW(A10)*LEN('General sheet'!G11)*MATCH('General sheet'!G11,Wind!$A$4:$A$11,0)),1),2^31-1)</f>
        <v>858979570</v>
      </c>
      <c r="J10">
        <f t="shared" si="5"/>
        <v>0.39999353252350983</v>
      </c>
      <c r="K10">
        <f t="shared" si="4"/>
        <v>6</v>
      </c>
    </row>
    <row r="11" spans="1:13" x14ac:dyDescent="0.3">
      <c r="A11">
        <f>MOD(48271*A10*CEILING(SQRT(ROW(A11)*LEN('General sheet'!E12)*MATCH('General sheet'!E12,Temp!$A$4:$A$11,0)),1),2^31-1)</f>
        <v>566944128</v>
      </c>
      <c r="B11">
        <f t="shared" si="0"/>
        <v>0.26400393259898014</v>
      </c>
      <c r="C11">
        <f t="shared" si="1"/>
        <v>5</v>
      </c>
      <c r="E11">
        <f>MOD(48271*E10*CEILING(SQRT(ROW(A11)*LEN('General sheet'!F12)*MATCH('General sheet'!F12,Precip!$A$4:$A$11,0)),1),2^31-1)</f>
        <v>241726412</v>
      </c>
      <c r="F11">
        <f t="shared" si="2"/>
        <v>0.11256263224061701</v>
      </c>
      <c r="G11">
        <f t="shared" si="3"/>
        <v>4</v>
      </c>
      <c r="I11">
        <f>MOD(48271*I10*CEILING(SQRT(ROW(A11)*LEN('General sheet'!G12)*MATCH('General sheet'!G12,Wind!$A$4:$A$11,0)),1),2^31-1)</f>
        <v>1058158651</v>
      </c>
      <c r="J11">
        <f t="shared" si="5"/>
        <v>0.49274351982993236</v>
      </c>
      <c r="K11">
        <f t="shared" si="4"/>
        <v>6</v>
      </c>
    </row>
    <row r="12" spans="1:13" x14ac:dyDescent="0.3">
      <c r="A12">
        <f>MOD(48271*A11*CEILING(SQRT(ROW(A12)*LEN('General sheet'!E13)*MATCH('General sheet'!E13,Temp!$A$4:$A$11,0)),1),2^31-1)</f>
        <v>1020308675</v>
      </c>
      <c r="B12">
        <f t="shared" si="0"/>
        <v>0.47511825127299795</v>
      </c>
      <c r="C12">
        <f t="shared" si="1"/>
        <v>6</v>
      </c>
      <c r="E12">
        <f>MOD(48271*E11*CEILING(SQRT(ROW(A12)*LEN('General sheet'!F13)*MATCH('General sheet'!F13,Precip!$A$4:$A$11,0)),1),2^31-1)</f>
        <v>418278195</v>
      </c>
      <c r="F12">
        <f t="shared" si="2"/>
        <v>0.1947759628271572</v>
      </c>
      <c r="G12">
        <f t="shared" si="3"/>
        <v>4</v>
      </c>
      <c r="I12">
        <f>MOD(48271*I11*CEILING(SQRT(ROW(A12)*LEN('General sheet'!G13)*MATCH('General sheet'!G13,Wind!$A$4:$A$11,0)),1),2^31-1)</f>
        <v>8638880</v>
      </c>
      <c r="J12">
        <f t="shared" si="5"/>
        <v>4.022791983570341E-3</v>
      </c>
      <c r="K12">
        <f t="shared" si="4"/>
        <v>1</v>
      </c>
    </row>
    <row r="13" spans="1:13" x14ac:dyDescent="0.3">
      <c r="A13">
        <f>MOD(48271*A12*CEILING(SQRT(ROW(A13)*LEN('General sheet'!E14)*MATCH('General sheet'!E14,Temp!$A$4:$A$11,0)),1),2^31-1)</f>
        <v>1777429205</v>
      </c>
      <c r="B13">
        <f t="shared" si="0"/>
        <v>0.82767997208409005</v>
      </c>
      <c r="C13">
        <f t="shared" si="1"/>
        <v>9</v>
      </c>
      <c r="E13">
        <f>MOD(48271*E12*CEILING(SQRT(ROW(A13)*LEN('General sheet'!F14)*MATCH('General sheet'!F14,Precip!$A$4:$A$11,0)),1),2^31-1)</f>
        <v>1244533269</v>
      </c>
      <c r="F13">
        <f t="shared" si="2"/>
        <v>0.57953096440971408</v>
      </c>
      <c r="G13">
        <f t="shared" si="3"/>
        <v>7</v>
      </c>
      <c r="I13">
        <f>MOD(48271*I12*CEILING(SQRT(ROW(A13)*LEN('General sheet'!G14)*MATCH('General sheet'!G14,Wind!$A$4:$A$11,0)),1),2^31-1)</f>
        <v>847169212</v>
      </c>
      <c r="J13">
        <f t="shared" si="5"/>
        <v>0.39449390601110362</v>
      </c>
      <c r="K13">
        <f t="shared" si="4"/>
        <v>6</v>
      </c>
    </row>
    <row r="14" spans="1:13" x14ac:dyDescent="0.3">
      <c r="A14">
        <f>MOD(48271*A13*CEILING(SQRT(ROW(A14)*LEN('General sheet'!E15)*MATCH('General sheet'!E15,Temp!$A$4:$A$11,0)),1),2^31-1)</f>
        <v>941122358</v>
      </c>
      <c r="B14">
        <f t="shared" si="0"/>
        <v>0.43824424894444841</v>
      </c>
      <c r="C14">
        <f t="shared" si="1"/>
        <v>6</v>
      </c>
      <c r="E14">
        <f>MOD(48271*E13*CEILING(SQRT(ROW(A14)*LEN('General sheet'!F15)*MATCH('General sheet'!F15,Precip!$A$4:$A$11,0)),1),2^31-1)</f>
        <v>1682897950</v>
      </c>
      <c r="F14">
        <f t="shared" si="2"/>
        <v>0.78366042616947573</v>
      </c>
      <c r="G14">
        <f t="shared" si="3"/>
        <v>8</v>
      </c>
      <c r="I14">
        <f>MOD(48271*I13*CEILING(SQRT(ROW(A14)*LEN('General sheet'!G15)*MATCH('General sheet'!G15,Wind!$A$4:$A$11,0)),1),2^31-1)</f>
        <v>824729807</v>
      </c>
      <c r="J14">
        <f t="shared" si="5"/>
        <v>0.38404474378751813</v>
      </c>
      <c r="K14">
        <f t="shared" si="4"/>
        <v>6</v>
      </c>
    </row>
    <row r="15" spans="1:13" x14ac:dyDescent="0.3">
      <c r="A15">
        <f>MOD(48271*A14*CEILING(SQRT(ROW(A15)*LEN('General sheet'!E16)*MATCH('General sheet'!E16,Temp!$A$4:$A$11,0)),1),2^31-1)</f>
        <v>793599945</v>
      </c>
      <c r="B15">
        <f t="shared" si="0"/>
        <v>0.36954877216813564</v>
      </c>
      <c r="C15">
        <f t="shared" si="1"/>
        <v>6</v>
      </c>
      <c r="E15">
        <f>MOD(48271*E14*CEILING(SQRT(ROW(A15)*LEN('General sheet'!F16)*MATCH('General sheet'!F16,Precip!$A$4:$A$11,0)),1),2^31-1)</f>
        <v>1118976767</v>
      </c>
      <c r="F15">
        <f t="shared" si="2"/>
        <v>0.52106416203131156</v>
      </c>
      <c r="G15">
        <f t="shared" si="3"/>
        <v>7</v>
      </c>
      <c r="I15">
        <f>MOD(48271*I14*CEILING(SQRT(ROW(A15)*LEN('General sheet'!G16)*MATCH('General sheet'!G16,Wind!$A$4:$A$11,0)),1),2^31-1)</f>
        <v>511688816</v>
      </c>
      <c r="J15">
        <f t="shared" si="5"/>
        <v>0.23827367287048776</v>
      </c>
      <c r="K15">
        <f t="shared" si="4"/>
        <v>5</v>
      </c>
    </row>
    <row r="16" spans="1:13" x14ac:dyDescent="0.3">
      <c r="A16">
        <f>MOD(48271*A15*CEILING(SQRT(ROW(A16)*LEN('General sheet'!E17)*MATCH('General sheet'!E17,Temp!$A$4:$A$11,0)),1),2^31-1)</f>
        <v>1906564502</v>
      </c>
      <c r="B16">
        <f t="shared" si="0"/>
        <v>0.88781328074997912</v>
      </c>
      <c r="C16">
        <f t="shared" si="1"/>
        <v>9</v>
      </c>
      <c r="E16">
        <f>MOD(48271*E15*CEILING(SQRT(ROW(A16)*LEN('General sheet'!F17)*MATCH('General sheet'!F17,Precip!$A$4:$A$11,0)),1),2^31-1)</f>
        <v>1057207809</v>
      </c>
      <c r="F16">
        <f t="shared" si="2"/>
        <v>0.49230074951997993</v>
      </c>
      <c r="G16">
        <f t="shared" si="3"/>
        <v>6</v>
      </c>
      <c r="I16">
        <f>MOD(48271*I15*CEILING(SQRT(ROW(A16)*LEN('General sheet'!G17)*MATCH('General sheet'!G17,Wind!$A$4:$A$11,0)),1),2^31-1)</f>
        <v>451016034</v>
      </c>
      <c r="J16">
        <f t="shared" si="5"/>
        <v>0.21002070708666962</v>
      </c>
      <c r="K16">
        <f t="shared" si="4"/>
        <v>5</v>
      </c>
      <c r="M16">
        <v>6</v>
      </c>
    </row>
    <row r="17" spans="1:11" x14ac:dyDescent="0.3">
      <c r="A17">
        <f>MOD(48271*A16*CEILING(SQRT(ROW(A17)*LEN('General sheet'!E18)*MATCH('General sheet'!E18,Temp!$A$4:$A$11,0)),1),2^31-1)</f>
        <v>1328220755</v>
      </c>
      <c r="B17">
        <f t="shared" si="0"/>
        <v>0.6185009868901693</v>
      </c>
      <c r="C17">
        <f t="shared" si="1"/>
        <v>7</v>
      </c>
      <c r="E17">
        <f>MOD(48271*E16*CEILING(SQRT(ROW(A17)*LEN('General sheet'!F18)*MATCH('General sheet'!F18,Precip!$A$4:$A$11,0)),1),2^31-1)</f>
        <v>2009963372</v>
      </c>
      <c r="F17">
        <f t="shared" si="2"/>
        <v>0.93596213168276576</v>
      </c>
      <c r="G17">
        <f t="shared" si="3"/>
        <v>10</v>
      </c>
      <c r="I17">
        <f>MOD(48271*I16*CEILING(SQRT(ROW(A17)*LEN('General sheet'!G18)*MATCH('General sheet'!G18,Wind!$A$4:$A$11,0)),1),2^31-1)</f>
        <v>1381426214</v>
      </c>
      <c r="J17">
        <f t="shared" si="5"/>
        <v>0.64327670943144555</v>
      </c>
      <c r="K17">
        <f t="shared" si="4"/>
        <v>7</v>
      </c>
    </row>
    <row r="18" spans="1:11" x14ac:dyDescent="0.3">
      <c r="A18">
        <f>MOD(48271*A17*CEILING(SQRT(ROW(A18)*LEN('General sheet'!E19)*MATCH('General sheet'!E19,Temp!$A$4:$A$11,0)),1),2^31-1)</f>
        <v>371529887</v>
      </c>
      <c r="B18">
        <f t="shared" si="0"/>
        <v>0.1730070855342816</v>
      </c>
      <c r="C18">
        <f t="shared" si="1"/>
        <v>4</v>
      </c>
      <c r="E18">
        <f>MOD(48271*E17*CEILING(SQRT(ROW(A18)*LEN('General sheet'!F19)*MATCH('General sheet'!F19,Precip!$A$4:$A$11,0)),1),2^31-1)</f>
        <v>631961257</v>
      </c>
      <c r="F18">
        <f t="shared" si="2"/>
        <v>0.29427989260027182</v>
      </c>
      <c r="G18">
        <f t="shared" si="3"/>
        <v>5</v>
      </c>
      <c r="I18">
        <f>MOD(48271*I17*CEILING(SQRT(ROW(A18)*LEN('General sheet'!G19)*MATCH('General sheet'!G19,Wind!$A$4:$A$11,0)),1),2^31-1)</f>
        <v>1011692567</v>
      </c>
      <c r="J18">
        <f t="shared" si="5"/>
        <v>0.4711060633282671</v>
      </c>
      <c r="K18">
        <f t="shared" si="4"/>
        <v>6</v>
      </c>
    </row>
    <row r="19" spans="1:11" x14ac:dyDescent="0.3">
      <c r="A19">
        <f>MOD(48271*A18*CEILING(SQRT(ROW(A19)*LEN('General sheet'!E20)*MATCH('General sheet'!E20,Temp!$A$4:$A$11,0)),1),2^31-1)</f>
        <v>1612276518</v>
      </c>
      <c r="B19">
        <f t="shared" si="0"/>
        <v>0.75077475921752623</v>
      </c>
      <c r="C19">
        <f t="shared" si="1"/>
        <v>8</v>
      </c>
      <c r="E19">
        <f>MOD(48271*E18*CEILING(SQRT(ROW(A19)*LEN('General sheet'!F20)*MATCH('General sheet'!F20,Precip!$A$4:$A$11,0)),1),2^31-1)</f>
        <v>832854951</v>
      </c>
      <c r="F19">
        <f t="shared" si="2"/>
        <v>0.38782830880388075</v>
      </c>
      <c r="G19">
        <f t="shared" si="3"/>
        <v>6</v>
      </c>
      <c r="I19">
        <f>MOD(48271*I18*CEILING(SQRT(ROW(A19)*LEN('General sheet'!G20)*MATCH('General sheet'!G20,Wind!$A$4:$A$11,0)),1),2^31-1)</f>
        <v>370498268</v>
      </c>
      <c r="J19">
        <f t="shared" si="5"/>
        <v>0.17252670050250679</v>
      </c>
      <c r="K19">
        <f t="shared" si="4"/>
        <v>4</v>
      </c>
    </row>
    <row r="20" spans="1:11" x14ac:dyDescent="0.3">
      <c r="A20">
        <f>MOD(48271*A19*CEILING(SQRT(ROW(A20)*LEN('General sheet'!E21)*MATCH('General sheet'!E21,Temp!$A$4:$A$11,0)),1),2^31-1)</f>
        <v>568757098</v>
      </c>
      <c r="B20">
        <f t="shared" si="0"/>
        <v>0.26484816254342353</v>
      </c>
      <c r="C20">
        <f t="shared" si="1"/>
        <v>5</v>
      </c>
      <c r="E20">
        <f>MOD(48271*E19*CEILING(SQRT(ROW(A20)*LEN('General sheet'!F21)*MATCH('General sheet'!F21,Precip!$A$4:$A$11,0)),1),2^31-1)</f>
        <v>489508906</v>
      </c>
      <c r="F20">
        <f t="shared" si="2"/>
        <v>0.22794534742270844</v>
      </c>
      <c r="G20">
        <f t="shared" si="3"/>
        <v>5</v>
      </c>
      <c r="I20">
        <f>MOD(48271*I19*CEILING(SQRT(ROW(A20)*LEN('General sheet'!G21)*MATCH('General sheet'!G21,Wind!$A$4:$A$11,0)),1),2^31-1)</f>
        <v>1249318592</v>
      </c>
      <c r="J20">
        <f t="shared" si="5"/>
        <v>0.58175930407911502</v>
      </c>
      <c r="K20">
        <f t="shared" si="4"/>
        <v>7</v>
      </c>
    </row>
    <row r="21" spans="1:11" x14ac:dyDescent="0.3">
      <c r="A21">
        <f>MOD(48271*A20*CEILING(SQRT(ROW(A21)*LEN('General sheet'!E22)*MATCH('General sheet'!E22,Temp!$A$4:$A$11,0)),1),2^31-1)</f>
        <v>365169013</v>
      </c>
      <c r="B21">
        <f t="shared" si="0"/>
        <v>0.17004507275765998</v>
      </c>
      <c r="C21">
        <f t="shared" si="1"/>
        <v>4</v>
      </c>
      <c r="E21">
        <f>MOD(48271*E20*CEILING(SQRT(ROW(A21)*LEN('General sheet'!F22)*MATCH('General sheet'!F22,Precip!$A$4:$A$11,0)),1),2^31-1)</f>
        <v>743239377</v>
      </c>
      <c r="F21">
        <f t="shared" si="2"/>
        <v>0.34609780523278649</v>
      </c>
      <c r="G21">
        <f t="shared" si="3"/>
        <v>6</v>
      </c>
      <c r="I21">
        <f>MOD(48271*I20*CEILING(SQRT(ROW(A21)*LEN('General sheet'!G22)*MATCH('General sheet'!G22,Wind!$A$4:$A$11,0)),1),2^31-1)</f>
        <v>2142434668</v>
      </c>
      <c r="J21">
        <f t="shared" si="5"/>
        <v>0.99764888593817547</v>
      </c>
      <c r="K21">
        <f t="shared" si="4"/>
        <v>12</v>
      </c>
    </row>
    <row r="22" spans="1:11" x14ac:dyDescent="0.3">
      <c r="A22">
        <f>MOD(48271*A21*CEILING(SQRT(ROW(A22)*LEN('General sheet'!E23)*MATCH('General sheet'!E23,Temp!$A$4:$A$11,0)),1),2^31-1)</f>
        <v>1852476775</v>
      </c>
      <c r="B22">
        <f t="shared" si="0"/>
        <v>0.86262672015588115</v>
      </c>
      <c r="C22">
        <f t="shared" si="1"/>
        <v>9</v>
      </c>
      <c r="E22">
        <f>MOD(48271*E21*CEILING(SQRT(ROW(A22)*LEN('General sheet'!F23)*MATCH('General sheet'!F23,Precip!$A$4:$A$11,0)),1),2^31-1)</f>
        <v>1320040492</v>
      </c>
      <c r="F22">
        <f t="shared" si="2"/>
        <v>0.61469175508929963</v>
      </c>
      <c r="G22">
        <f t="shared" si="3"/>
        <v>7</v>
      </c>
      <c r="I22">
        <f>MOD(48271*I21*CEILING(SQRT(ROW(A22)*LEN('General sheet'!G23)*MATCH('General sheet'!G23,Wind!$A$4:$A$11,0)),1),2^31-1)</f>
        <v>1657471963</v>
      </c>
      <c r="J22">
        <f t="shared" si="5"/>
        <v>0.77182052832647252</v>
      </c>
      <c r="K22">
        <f t="shared" si="4"/>
        <v>8</v>
      </c>
    </row>
    <row r="23" spans="1:11" x14ac:dyDescent="0.3">
      <c r="A23">
        <f>MOD(48271*A22*CEILING(SQRT(ROW(A23)*LEN('General sheet'!E24)*MATCH('General sheet'!E24,Temp!$A$4:$A$11,0)),1),2^31-1)</f>
        <v>419801420</v>
      </c>
      <c r="B23">
        <f t="shared" si="0"/>
        <v>0.19548526974184685</v>
      </c>
      <c r="C23">
        <f t="shared" si="1"/>
        <v>5</v>
      </c>
      <c r="E23">
        <f>MOD(48271*E22*CEILING(SQRT(ROW(A23)*LEN('General sheet'!F24)*MATCH('General sheet'!F24,Precip!$A$4:$A$11,0)),1),2^31-1)</f>
        <v>766667517</v>
      </c>
      <c r="F23">
        <f t="shared" si="2"/>
        <v>0.35700738306949259</v>
      </c>
      <c r="G23">
        <f t="shared" si="3"/>
        <v>6</v>
      </c>
      <c r="I23">
        <f>MOD(48271*I22*CEILING(SQRT(ROW(A23)*LEN('General sheet'!G24)*MATCH('General sheet'!G24,Wind!$A$4:$A$11,0)),1),2^31-1)</f>
        <v>1960572184</v>
      </c>
      <c r="J23">
        <f t="shared" si="5"/>
        <v>0.91296256748631721</v>
      </c>
      <c r="K23">
        <f t="shared" si="4"/>
        <v>10</v>
      </c>
    </row>
    <row r="24" spans="1:11" x14ac:dyDescent="0.3">
      <c r="A24">
        <f>MOD(48271*A23*CEILING(SQRT(ROW(A24)*LEN('General sheet'!E25)*MATCH('General sheet'!E25,Temp!$A$4:$A$11,0)),1),2^31-1)</f>
        <v>1915637848</v>
      </c>
      <c r="B24">
        <f t="shared" si="0"/>
        <v>0.89203838673049507</v>
      </c>
      <c r="C24">
        <f t="shared" si="1"/>
        <v>9</v>
      </c>
      <c r="E24">
        <f>MOD(48271*E23*CEILING(SQRT(ROW(A24)*LEN('General sheet'!F25)*MATCH('General sheet'!F25,Precip!$A$4:$A$11,0)),1),2^31-1)</f>
        <v>440304095</v>
      </c>
      <c r="F24">
        <f t="shared" si="2"/>
        <v>0.20503257178004486</v>
      </c>
      <c r="G24">
        <f t="shared" si="3"/>
        <v>5</v>
      </c>
      <c r="I24">
        <f>MOD(48271*I23*CEILING(SQRT(ROW(A24)*LEN('General sheet'!G25)*MATCH('General sheet'!G25,Wind!$A$4:$A$11,0)),1),2^31-1)</f>
        <v>538296189</v>
      </c>
      <c r="J24">
        <f t="shared" si="5"/>
        <v>0.25066369643931447</v>
      </c>
      <c r="K24">
        <f t="shared" si="4"/>
        <v>5</v>
      </c>
    </row>
    <row r="25" spans="1:11" x14ac:dyDescent="0.3">
      <c r="A25">
        <f>MOD(48271*A24*CEILING(SQRT(ROW(A25)*LEN('General sheet'!E26)*MATCH('General sheet'!E26,Temp!$A$4:$A$11,0)),1),2^31-1)</f>
        <v>1908768297</v>
      </c>
      <c r="B25">
        <f t="shared" si="0"/>
        <v>0.88883950276711932</v>
      </c>
      <c r="C25">
        <f t="shared" si="1"/>
        <v>9</v>
      </c>
      <c r="E25">
        <f>MOD(48271*E24*CEILING(SQRT(ROW(A25)*LEN('General sheet'!F26)*MATCH('General sheet'!F26,Precip!$A$4:$A$11,0)),1),2^31-1)</f>
        <v>937064481</v>
      </c>
      <c r="F25">
        <f t="shared" si="2"/>
        <v>0.43635465271601204</v>
      </c>
      <c r="G25">
        <f t="shared" si="3"/>
        <v>6</v>
      </c>
      <c r="I25">
        <f>MOD(48271*I24*CEILING(SQRT(ROW(A25)*LEN('General sheet'!G26)*MATCH('General sheet'!G26,Wind!$A$4:$A$11,0)),1),2^31-1)</f>
        <v>1328701099</v>
      </c>
      <c r="J25">
        <f t="shared" si="5"/>
        <v>0.61872466449566399</v>
      </c>
      <c r="K25">
        <f t="shared" si="4"/>
        <v>7</v>
      </c>
    </row>
    <row r="26" spans="1:11" x14ac:dyDescent="0.3">
      <c r="A26">
        <f>MOD(48271*A25*CEILING(SQRT(ROW(A26)*LEN('General sheet'!E27)*MATCH('General sheet'!E27,Temp!$A$4:$A$11,0)),1),2^31-1)</f>
        <v>15746438</v>
      </c>
      <c r="B26">
        <f t="shared" si="0"/>
        <v>7.332506593005968E-3</v>
      </c>
      <c r="C26">
        <f t="shared" si="1"/>
        <v>1</v>
      </c>
      <c r="E26">
        <f>MOD(48271*E25*CEILING(SQRT(ROW(A26)*LEN('General sheet'!F27)*MATCH('General sheet'!F27,Precip!$A$4:$A$11,0)),1),2^31-1)</f>
        <v>938265401</v>
      </c>
      <c r="F26">
        <f t="shared" si="2"/>
        <v>0.43691387466942605</v>
      </c>
      <c r="G26">
        <f t="shared" si="3"/>
        <v>6</v>
      </c>
      <c r="I26">
        <f>MOD(48271*I25*CEILING(SQRT(ROW(A26)*LEN('General sheet'!G27)*MATCH('General sheet'!G27,Wind!$A$4:$A$11,0)),1),2^31-1)</f>
        <v>1157824182</v>
      </c>
      <c r="J26">
        <f t="shared" si="5"/>
        <v>0.53915389931721325</v>
      </c>
      <c r="K26">
        <f t="shared" si="4"/>
        <v>7</v>
      </c>
    </row>
    <row r="27" spans="1:11" x14ac:dyDescent="0.3">
      <c r="A27">
        <f>MOD(48271*A26*CEILING(SQRT(ROW(A27)*LEN('General sheet'!E28)*MATCH('General sheet'!E28,Temp!$A$4:$A$11,0)),1),2^31-1)</f>
        <v>679753227</v>
      </c>
      <c r="B27">
        <f t="shared" si="0"/>
        <v>0.31653476288380789</v>
      </c>
      <c r="C27">
        <f t="shared" si="1"/>
        <v>5</v>
      </c>
      <c r="E27">
        <f>MOD(48271*E26*CEILING(SQRT(ROW(A27)*LEN('General sheet'!F28)*MATCH('General sheet'!F28,Precip!$A$4:$A$11,0)),1),2^31-1)</f>
        <v>95912027</v>
      </c>
      <c r="F27">
        <f t="shared" si="2"/>
        <v>4.4662517981912252E-2</v>
      </c>
      <c r="G27">
        <f t="shared" si="3"/>
        <v>3</v>
      </c>
      <c r="I27">
        <f>MOD(48271*I26*CEILING(SQRT(ROW(A27)*LEN('General sheet'!G28)*MATCH('General sheet'!G28,Wind!$A$4:$A$11,0)),1),2^31-1)</f>
        <v>2010513352</v>
      </c>
      <c r="J27">
        <f t="shared" si="5"/>
        <v>0.93621823607767851</v>
      </c>
      <c r="K27">
        <f t="shared" si="4"/>
        <v>10</v>
      </c>
    </row>
    <row r="28" spans="1:11" x14ac:dyDescent="0.3">
      <c r="A28">
        <f>MOD(48271*A27*CEILING(SQRT(ROW(A28)*LEN('General sheet'!E29)*MATCH('General sheet'!E29,Temp!$A$4:$A$11,0)),1),2^31-1)</f>
        <v>1595768178</v>
      </c>
      <c r="B28">
        <f t="shared" si="0"/>
        <v>0.7430874643582327</v>
      </c>
      <c r="C28">
        <f t="shared" si="1"/>
        <v>8</v>
      </c>
      <c r="E28">
        <f>MOD(48271*E27*CEILING(SQRT(ROW(A28)*LEN('General sheet'!F29)*MATCH('General sheet'!F29,Precip!$A$4:$A$11,0)),1),2^31-1)</f>
        <v>805077839</v>
      </c>
      <c r="F28">
        <f t="shared" si="2"/>
        <v>0.37489358306624626</v>
      </c>
      <c r="G28">
        <f t="shared" si="3"/>
        <v>6</v>
      </c>
      <c r="I28">
        <f>MOD(48271*I27*CEILING(SQRT(ROW(A28)*LEN('General sheet'!G29)*MATCH('General sheet'!G29,Wind!$A$4:$A$11,0)),1),2^31-1)</f>
        <v>715566409</v>
      </c>
      <c r="J28">
        <f t="shared" si="5"/>
        <v>0.33321157532427997</v>
      </c>
      <c r="K28">
        <f t="shared" si="4"/>
        <v>5</v>
      </c>
    </row>
    <row r="29" spans="1:11" x14ac:dyDescent="0.3">
      <c r="A29">
        <f>MOD(48271*A28*CEILING(SQRT(ROW(A29)*LEN('General sheet'!E30)*MATCH('General sheet'!E30,Temp!$A$4:$A$11,0)),1),2^31-1)</f>
        <v>429223097</v>
      </c>
      <c r="B29">
        <f t="shared" si="0"/>
        <v>0.19987257998430755</v>
      </c>
      <c r="C29">
        <f t="shared" si="1"/>
        <v>5</v>
      </c>
      <c r="E29">
        <f>MOD(48271*E28*CEILING(SQRT(ROW(A29)*LEN('General sheet'!F30)*MATCH('General sheet'!F30,Precip!$A$4:$A$11,0)),1),2^31-1)</f>
        <v>1740258583</v>
      </c>
      <c r="F29">
        <f t="shared" si="2"/>
        <v>0.81037105238548068</v>
      </c>
      <c r="G29">
        <f t="shared" si="3"/>
        <v>9</v>
      </c>
      <c r="I29">
        <f>MOD(48271*I28*CEILING(SQRT(ROW(A29)*LEN('General sheet'!G30)*MATCH('General sheet'!G30,Wind!$A$4:$A$11,0)),1),2^31-1)</f>
        <v>1712884316</v>
      </c>
      <c r="J29">
        <f t="shared" si="5"/>
        <v>0.797623915969219</v>
      </c>
      <c r="K29">
        <f t="shared" si="4"/>
        <v>8</v>
      </c>
    </row>
    <row r="30" spans="1:11" x14ac:dyDescent="0.3">
      <c r="A30">
        <f>MOD(48271*A29*CEILING(SQRT(ROW(A30)*LEN('General sheet'!E31)*MATCH('General sheet'!E31,Temp!$A$4:$A$11,0)),1),2^31-1)</f>
        <v>1770410500</v>
      </c>
      <c r="B30">
        <f t="shared" si="0"/>
        <v>0.82441163287703489</v>
      </c>
      <c r="C30">
        <f t="shared" si="1"/>
        <v>9</v>
      </c>
      <c r="E30">
        <f>MOD(48271*E29*CEILING(SQRT(ROW(A30)*LEN('General sheet'!F31)*MATCH('General sheet'!F31,Precip!$A$4:$A$11,0)),1),2^31-1)</f>
        <v>453164762</v>
      </c>
      <c r="F30">
        <f t="shared" si="2"/>
        <v>0.21102128653368973</v>
      </c>
      <c r="G30">
        <f t="shared" si="3"/>
        <v>5</v>
      </c>
      <c r="I30">
        <f>MOD(48271*I29*CEILING(SQRT(ROW(A30)*LEN('General sheet'!G31)*MATCH('General sheet'!G31,Wind!$A$4:$A$11,0)),1),2^31-1)</f>
        <v>931096845</v>
      </c>
      <c r="J30">
        <f t="shared" si="5"/>
        <v>0.43357575565277401</v>
      </c>
      <c r="K30">
        <f t="shared" si="4"/>
        <v>6</v>
      </c>
    </row>
    <row r="31" spans="1:11" x14ac:dyDescent="0.3">
      <c r="A31">
        <f>MOD(48271*A30*CEILING(SQRT(ROW(A31)*LEN('General sheet'!E32)*MATCH('General sheet'!E32,Temp!$A$4:$A$11,0)),1),2^31-1)</f>
        <v>1308597248</v>
      </c>
      <c r="B31">
        <f t="shared" si="0"/>
        <v>0.60936307935480172</v>
      </c>
      <c r="C31">
        <f t="shared" si="1"/>
        <v>7</v>
      </c>
      <c r="E31">
        <f>MOD(48271*E30*CEILING(SQRT(ROW(A31)*LEN('General sheet'!F32)*MATCH('General sheet'!F32,Precip!$A$4:$A$11,0)),1),2^31-1)</f>
        <v>101244758</v>
      </c>
      <c r="F31">
        <f t="shared" si="2"/>
        <v>4.7145764365394492E-2</v>
      </c>
      <c r="G31">
        <f t="shared" si="3"/>
        <v>3</v>
      </c>
      <c r="I31">
        <f>MOD(48271*I30*CEILING(SQRT(ROW(A31)*LEN('General sheet'!G32)*MATCH('General sheet'!G32,Wind!$A$4:$A$11,0)),1),2^31-1)</f>
        <v>1693143155</v>
      </c>
      <c r="J31">
        <f t="shared" si="5"/>
        <v>0.78843122152072898</v>
      </c>
      <c r="K31">
        <f t="shared" si="4"/>
        <v>8</v>
      </c>
    </row>
    <row r="32" spans="1:11" x14ac:dyDescent="0.3">
      <c r="A32">
        <f>MOD(48271*A31*CEILING(SQRT(ROW(A32)*LEN('General sheet'!E33)*MATCH('General sheet'!E33,Temp!$A$4:$A$11,0)),1),2^31-1)</f>
        <v>1773175095</v>
      </c>
      <c r="B32">
        <f t="shared" si="0"/>
        <v>0.82569899774421895</v>
      </c>
      <c r="C32">
        <f t="shared" si="1"/>
        <v>9</v>
      </c>
      <c r="E32">
        <f>MOD(48271*E31*CEILING(SQRT(ROW(A32)*LEN('General sheet'!F33)*MATCH('General sheet'!F33,Precip!$A$4:$A$11,0)),1),2^31-1)</f>
        <v>1970209463</v>
      </c>
      <c r="F32">
        <f t="shared" si="2"/>
        <v>0.91745027523369072</v>
      </c>
      <c r="G32">
        <f t="shared" si="3"/>
        <v>10</v>
      </c>
      <c r="I32">
        <f>MOD(48271*I31*CEILING(SQRT(ROW(A32)*LEN('General sheet'!G33)*MATCH('General sheet'!G33,Wind!$A$4:$A$11,0)),1),2^31-1)</f>
        <v>770510522</v>
      </c>
      <c r="J32">
        <f t="shared" si="5"/>
        <v>0.358796921725756</v>
      </c>
      <c r="K32">
        <f t="shared" si="4"/>
        <v>6</v>
      </c>
    </row>
    <row r="33" spans="1:11" x14ac:dyDescent="0.3">
      <c r="A33">
        <f>MOD(48271*A32*CEILING(SQRT(ROW(A33)*LEN('General sheet'!E34)*MATCH('General sheet'!E34,Temp!$A$4:$A$11,0)),1),2^31-1)</f>
        <v>481729740</v>
      </c>
      <c r="B33">
        <f t="shared" si="0"/>
        <v>0.22432289096728103</v>
      </c>
      <c r="C33">
        <f t="shared" si="1"/>
        <v>5</v>
      </c>
      <c r="E33">
        <f>MOD(48271*E32*CEILING(SQRT(ROW(A33)*LEN('General sheet'!F34)*MATCH('General sheet'!F34,Precip!$A$4:$A$11,0)),1),2^31-1)</f>
        <v>573537401</v>
      </c>
      <c r="F33">
        <f t="shared" si="2"/>
        <v>0.26707416459316113</v>
      </c>
      <c r="G33">
        <f t="shared" si="3"/>
        <v>5</v>
      </c>
      <c r="I33">
        <f>MOD(48271*I32*CEILING(SQRT(ROW(A33)*LEN('General sheet'!G34)*MATCH('General sheet'!G34,Wind!$A$4:$A$11,0)),1),2^31-1)</f>
        <v>214855943</v>
      </c>
      <c r="J33">
        <f t="shared" si="5"/>
        <v>0.1000500950496877</v>
      </c>
      <c r="K33">
        <f t="shared" si="4"/>
        <v>4</v>
      </c>
    </row>
    <row r="34" spans="1:11" x14ac:dyDescent="0.3">
      <c r="A34">
        <f>MOD(48271*A33*CEILING(SQRT(ROW(A34)*LEN('General sheet'!E35)*MATCH('General sheet'!E35,Temp!$A$4:$A$11,0)),1),2^31-1)</f>
        <v>897275720</v>
      </c>
      <c r="B34">
        <f t="shared" si="0"/>
        <v>0.41782656703974425</v>
      </c>
      <c r="C34">
        <f t="shared" si="1"/>
        <v>6</v>
      </c>
      <c r="E34">
        <f>MOD(48271*E33*CEILING(SQRT(ROW(A34)*LEN('General sheet'!F35)*MATCH('General sheet'!F35,Precip!$A$4:$A$11,0)),1),2^31-1)</f>
        <v>100870251</v>
      </c>
      <c r="F34">
        <f t="shared" si="2"/>
        <v>4.697137095358752E-2</v>
      </c>
      <c r="G34">
        <f t="shared" si="3"/>
        <v>3</v>
      </c>
      <c r="I34">
        <f>MOD(48271*I33*CEILING(SQRT(ROW(A34)*LEN('General sheet'!G35)*MATCH('General sheet'!G35,Wind!$A$4:$A$11,0)),1),2^31-1)</f>
        <v>367458737</v>
      </c>
      <c r="J34">
        <f t="shared" si="5"/>
        <v>0.1711113085835759</v>
      </c>
      <c r="K34">
        <f t="shared" si="4"/>
        <v>4</v>
      </c>
    </row>
    <row r="35" spans="1:11" x14ac:dyDescent="0.3">
      <c r="A35">
        <f>MOD(48271*A34*CEILING(SQRT(ROW(A35)*LEN('General sheet'!E36)*MATCH('General sheet'!E36,Temp!$A$4:$A$11,0)),1),2^31-1)</f>
        <v>534085668</v>
      </c>
      <c r="B35">
        <f t="shared" si="0"/>
        <v>0.2487030198093052</v>
      </c>
      <c r="C35">
        <f t="shared" si="1"/>
        <v>5</v>
      </c>
      <c r="E35">
        <f>MOD(48271*E34*CEILING(SQRT(ROW(A35)*LEN('General sheet'!F36)*MATCH('General sheet'!F36,Precip!$A$4:$A$11,0)),1),2^31-1)</f>
        <v>1601805286</v>
      </c>
      <c r="F35">
        <f t="shared" si="2"/>
        <v>0.74589871184243761</v>
      </c>
      <c r="G35">
        <f t="shared" si="3"/>
        <v>8</v>
      </c>
      <c r="I35">
        <f>MOD(48271*I34*CEILING(SQRT(ROW(A35)*LEN('General sheet'!G36)*MATCH('General sheet'!G36,Wind!$A$4:$A$11,0)),1),2^31-1)</f>
        <v>2133545176</v>
      </c>
      <c r="J35">
        <f t="shared" si="5"/>
        <v>0.99350939364801594</v>
      </c>
      <c r="K35">
        <f t="shared" si="4"/>
        <v>12</v>
      </c>
    </row>
    <row r="36" spans="1:11" x14ac:dyDescent="0.3">
      <c r="A36">
        <f>MOD(48271*A35*CEILING(SQRT(ROW(A36)*LEN('General sheet'!E37)*MATCH('General sheet'!E37,Temp!$A$4:$A$11,0)),1),2^31-1)</f>
        <v>1894591278</v>
      </c>
      <c r="B36">
        <f t="shared" si="0"/>
        <v>0.88223781384631894</v>
      </c>
      <c r="C36">
        <f t="shared" si="1"/>
        <v>9</v>
      </c>
      <c r="E36">
        <f>MOD(48271*E35*CEILING(SQRT(ROW(A36)*LEN('General sheet'!F37)*MATCH('General sheet'!F37,Precip!$A$4:$A$11,0)),1),2^31-1)</f>
        <v>1836139496</v>
      </c>
      <c r="F36">
        <f t="shared" si="2"/>
        <v>0.85501908178209285</v>
      </c>
      <c r="G36">
        <f t="shared" si="3"/>
        <v>9</v>
      </c>
      <c r="I36">
        <f>MOD(48271*I35*CEILING(SQRT(ROW(A36)*LEN('General sheet'!G37)*MATCH('General sheet'!G37,Wind!$A$4:$A$11,0)),1),2^31-1)</f>
        <v>1628272570</v>
      </c>
      <c r="J36">
        <f t="shared" si="5"/>
        <v>0.75822350138715633</v>
      </c>
      <c r="K36">
        <f t="shared" si="4"/>
        <v>8</v>
      </c>
    </row>
    <row r="37" spans="1:11" x14ac:dyDescent="0.3">
      <c r="A37">
        <f>MOD(48271*A36*CEILING(SQRT(ROW(A37)*LEN('General sheet'!E38)*MATCH('General sheet'!E38,Temp!$A$4:$A$11,0)),1),2^31-1)</f>
        <v>1206884096</v>
      </c>
      <c r="B37">
        <f t="shared" si="0"/>
        <v>0.5619992020362985</v>
      </c>
      <c r="C37">
        <f t="shared" si="1"/>
        <v>7</v>
      </c>
      <c r="E37">
        <f>MOD(48271*E36*CEILING(SQRT(ROW(A37)*LEN('General sheet'!F38)*MATCH('General sheet'!F38,Precip!$A$4:$A$11,0)),1),2^31-1)</f>
        <v>75364884</v>
      </c>
      <c r="F37">
        <f t="shared" si="2"/>
        <v>3.5094508917580598E-2</v>
      </c>
      <c r="G37">
        <f t="shared" si="3"/>
        <v>2</v>
      </c>
      <c r="I37">
        <f>MOD(48271*I36*CEILING(SQRT(ROW(A37)*LEN('General sheet'!G38)*MATCH('General sheet'!G38,Wind!$A$4:$A$11,0)),1),2^31-1)</f>
        <v>1386226461</v>
      </c>
      <c r="J37">
        <f t="shared" si="5"/>
        <v>0.64551199862990161</v>
      </c>
      <c r="K37">
        <f t="shared" si="4"/>
        <v>7</v>
      </c>
    </row>
    <row r="38" spans="1:11" x14ac:dyDescent="0.3">
      <c r="A38">
        <f>MOD(48271*A37*CEILING(SQRT(ROW(A38)*LEN('General sheet'!E39)*MATCH('General sheet'!E39,Temp!$A$4:$A$11,0)),1),2^31-1)</f>
        <v>360619024</v>
      </c>
      <c r="B38">
        <f t="shared" si="0"/>
        <v>0.1679263190216973</v>
      </c>
      <c r="C38">
        <f t="shared" si="1"/>
        <v>4</v>
      </c>
      <c r="E38">
        <f>MOD(48271*E37*CEILING(SQRT(ROW(A38)*LEN('General sheet'!F39)*MATCH('General sheet'!F39,Precip!$A$4:$A$11,0)),1),2^31-1)</f>
        <v>2020350920</v>
      </c>
      <c r="F38">
        <f t="shared" si="2"/>
        <v>0.94079921065866912</v>
      </c>
      <c r="G38">
        <f t="shared" si="3"/>
        <v>10</v>
      </c>
      <c r="I38">
        <f>MOD(48271*I37*CEILING(SQRT(ROW(A38)*LEN('General sheet'!G39)*MATCH('General sheet'!G39,Wind!$A$4:$A$11,0)),1),2^31-1)</f>
        <v>111871543</v>
      </c>
      <c r="J38">
        <f t="shared" si="5"/>
        <v>5.2094246750741383E-2</v>
      </c>
      <c r="K38">
        <f t="shared" si="4"/>
        <v>3</v>
      </c>
    </row>
    <row r="39" spans="1:11" x14ac:dyDescent="0.3">
      <c r="A39">
        <f>MOD(48271*A38*CEILING(SQRT(ROW(A39)*LEN('General sheet'!E40)*MATCH('General sheet'!E40,Temp!$A$4:$A$11,0)),1),2^31-1)</f>
        <v>1710494018</v>
      </c>
      <c r="B39">
        <f t="shared" si="0"/>
        <v>0.79651084672497163</v>
      </c>
      <c r="C39">
        <f t="shared" si="1"/>
        <v>8</v>
      </c>
      <c r="E39">
        <f>MOD(48271*E38*CEILING(SQRT(ROW(A39)*LEN('General sheet'!F40)*MATCH('General sheet'!F40,Precip!$A$4:$A$11,0)),1),2^31-1)</f>
        <v>1110301127</v>
      </c>
      <c r="F39">
        <f t="shared" si="2"/>
        <v>0.51702425233881188</v>
      </c>
      <c r="G39">
        <f t="shared" si="3"/>
        <v>7</v>
      </c>
      <c r="I39">
        <f>MOD(48271*I38*CEILING(SQRT(ROW(A39)*LEN('General sheet'!G40)*MATCH('General sheet'!G40,Wind!$A$4:$A$11,0)),1),2^31-1)</f>
        <v>1125962100</v>
      </c>
      <c r="J39">
        <f t="shared" si="5"/>
        <v>0.52431696118987958</v>
      </c>
      <c r="K39">
        <f t="shared" si="4"/>
        <v>7</v>
      </c>
    </row>
    <row r="40" spans="1:11" x14ac:dyDescent="0.3">
      <c r="A40">
        <f>MOD(48271*A39*CEILING(SQRT(ROW(A40)*LEN('General sheet'!E41)*MATCH('General sheet'!E41,Temp!$A$4:$A$11,0)),1),2^31-1)</f>
        <v>1347653565</v>
      </c>
      <c r="B40">
        <f t="shared" si="0"/>
        <v>0.62755009421498986</v>
      </c>
      <c r="C40">
        <f t="shared" si="1"/>
        <v>7</v>
      </c>
      <c r="E40">
        <f>MOD(48271*E39*CEILING(SQRT(ROW(A40)*LEN('General sheet'!F41)*MATCH('General sheet'!F41,Precip!$A$4:$A$11,0)),1),2^31-1)</f>
        <v>947637269</v>
      </c>
      <c r="F40">
        <f t="shared" si="2"/>
        <v>0.44127799078881647</v>
      </c>
      <c r="G40">
        <f t="shared" si="3"/>
        <v>6</v>
      </c>
      <c r="I40">
        <f>MOD(48271*I39*CEILING(SQRT(ROW(A40)*LEN('General sheet'!G41)*MATCH('General sheet'!G41,Wind!$A$4:$A$11,0)),1),2^31-1)</f>
        <v>1565676841</v>
      </c>
      <c r="J40">
        <f t="shared" si="5"/>
        <v>0.72907509362747669</v>
      </c>
      <c r="K40">
        <f t="shared" si="4"/>
        <v>8</v>
      </c>
    </row>
    <row r="41" spans="1:11" x14ac:dyDescent="0.3">
      <c r="A41">
        <f>MOD(48271*A40*CEILING(SQRT(ROW(A41)*LEN('General sheet'!E42)*MATCH('General sheet'!E42,Temp!$A$4:$A$11,0)),1),2^31-1)</f>
        <v>1390147128</v>
      </c>
      <c r="B41">
        <f t="shared" si="0"/>
        <v>0.64733770147307668</v>
      </c>
      <c r="C41">
        <f t="shared" si="1"/>
        <v>7</v>
      </c>
      <c r="E41">
        <f>MOD(48271*E40*CEILING(SQRT(ROW(A41)*LEN('General sheet'!F42)*MATCH('General sheet'!F42,Precip!$A$4:$A$11,0)),1),2^31-1)</f>
        <v>1323654109</v>
      </c>
      <c r="F41">
        <f t="shared" si="2"/>
        <v>0.61637447663414036</v>
      </c>
      <c r="G41">
        <f t="shared" si="3"/>
        <v>7</v>
      </c>
      <c r="I41">
        <f>MOD(48271*I40*CEILING(SQRT(ROW(A41)*LEN('General sheet'!G42)*MATCH('General sheet'!G42,Wind!$A$4:$A$11,0)),1),2^31-1)</f>
        <v>364933031</v>
      </c>
      <c r="J41">
        <f t="shared" si="5"/>
        <v>0.16993518507570735</v>
      </c>
      <c r="K41">
        <f t="shared" si="4"/>
        <v>4</v>
      </c>
    </row>
    <row r="42" spans="1:11" x14ac:dyDescent="0.3">
      <c r="A42">
        <f>MOD(48271*A41*CEILING(SQRT(ROW(A42)*LEN('General sheet'!E43)*MATCH('General sheet'!E43,Temp!$A$4:$A$11,0)),1),2^31-1)</f>
        <v>1089732845</v>
      </c>
      <c r="B42">
        <f t="shared" si="0"/>
        <v>0.50744639966052318</v>
      </c>
      <c r="C42">
        <f t="shared" si="1"/>
        <v>7</v>
      </c>
      <c r="E42">
        <f>MOD(48271*E41*CEILING(SQRT(ROW(A42)*LEN('General sheet'!F43)*MATCH('General sheet'!F43,Precip!$A$4:$A$11,0)),1),2^31-1)</f>
        <v>929122180</v>
      </c>
      <c r="F42">
        <f t="shared" si="2"/>
        <v>0.43265623060644431</v>
      </c>
      <c r="G42">
        <f t="shared" si="3"/>
        <v>6</v>
      </c>
      <c r="I42">
        <f>MOD(48271*I41*CEILING(SQRT(ROW(A42)*LEN('General sheet'!G43)*MATCH('General sheet'!G43,Wind!$A$4:$A$11,0)),1),2^31-1)</f>
        <v>1527790281</v>
      </c>
      <c r="J42">
        <f t="shared" si="5"/>
        <v>0.71143278931799936</v>
      </c>
      <c r="K42">
        <f t="shared" si="4"/>
        <v>8</v>
      </c>
    </row>
    <row r="43" spans="1:11" x14ac:dyDescent="0.3">
      <c r="A43">
        <f>MOD(48271*A42*CEILING(SQRT(ROW(A43)*LEN('General sheet'!E44)*MATCH('General sheet'!E44,Temp!$A$4:$A$11,0)),1),2^31-1)</f>
        <v>761799194</v>
      </c>
      <c r="B43">
        <f t="shared" si="0"/>
        <v>0.35474039351322706</v>
      </c>
      <c r="C43">
        <f t="shared" si="1"/>
        <v>6</v>
      </c>
      <c r="E43">
        <f>MOD(48271*E42*CEILING(SQRT(ROW(A43)*LEN('General sheet'!F44)*MATCH('General sheet'!F44,Precip!$A$4:$A$11,0)),1),2^31-1)</f>
        <v>454764298</v>
      </c>
      <c r="F43">
        <f t="shared" si="2"/>
        <v>0.21176612852689164</v>
      </c>
      <c r="G43">
        <f t="shared" si="3"/>
        <v>5</v>
      </c>
      <c r="I43">
        <f>MOD(48271*I42*CEILING(SQRT(ROW(A43)*LEN('General sheet'!G44)*MATCH('General sheet'!G44,Wind!$A$4:$A$11,0)),1),2^31-1)</f>
        <v>1904660726</v>
      </c>
      <c r="J43">
        <f t="shared" si="5"/>
        <v>0.88692676596666065</v>
      </c>
      <c r="K43">
        <f t="shared" si="4"/>
        <v>9</v>
      </c>
    </row>
    <row r="44" spans="1:11" x14ac:dyDescent="0.3">
      <c r="A44">
        <f>MOD(48271*A43*CEILING(SQRT(ROW(A44)*LEN('General sheet'!E45)*MATCH('General sheet'!E45,Temp!$A$4:$A$11,0)),1),2^31-1)</f>
        <v>442506850</v>
      </c>
      <c r="B44">
        <f t="shared" si="0"/>
        <v>0.20605830950944606</v>
      </c>
      <c r="C44">
        <f t="shared" si="1"/>
        <v>5</v>
      </c>
      <c r="E44">
        <f>MOD(48271*E43*CEILING(SQRT(ROW(A44)*LEN('General sheet'!F45)*MATCH('General sheet'!F45,Precip!$A$4:$A$11,0)),1),2^31-1)</f>
        <v>1498201105</v>
      </c>
      <c r="F44">
        <f t="shared" si="2"/>
        <v>0.69765425552504801</v>
      </c>
      <c r="G44">
        <f t="shared" si="3"/>
        <v>8</v>
      </c>
      <c r="I44">
        <f>MOD(48271*I43*CEILING(SQRT(ROW(A44)*LEN('General sheet'!G45)*MATCH('General sheet'!G45,Wind!$A$4:$A$11,0)),1),2^31-1)</f>
        <v>1453414929</v>
      </c>
      <c r="J44">
        <f t="shared" si="5"/>
        <v>0.67679906714558558</v>
      </c>
      <c r="K44">
        <f t="shared" si="4"/>
        <v>8</v>
      </c>
    </row>
    <row r="45" spans="1:11" x14ac:dyDescent="0.3">
      <c r="A45">
        <f>MOD(48271*A44*CEILING(SQRT(ROW(A45)*LEN('General sheet'!E46)*MATCH('General sheet'!E46,Temp!$A$4:$A$11,0)),1),2^31-1)</f>
        <v>304351917</v>
      </c>
      <c r="B45">
        <f t="shared" si="0"/>
        <v>0.141724905530794</v>
      </c>
      <c r="C45">
        <f t="shared" si="1"/>
        <v>4</v>
      </c>
      <c r="E45">
        <f>MOD(48271*E44*CEILING(SQRT(ROW(A45)*LEN('General sheet'!F46)*MATCH('General sheet'!F46,Precip!$A$4:$A$11,0)),1),2^31-1)</f>
        <v>1865012636</v>
      </c>
      <c r="F45">
        <f t="shared" si="2"/>
        <v>0.86846418532937031</v>
      </c>
      <c r="G45">
        <f t="shared" si="3"/>
        <v>9</v>
      </c>
      <c r="I45">
        <f>MOD(48271*I44*CEILING(SQRT(ROW(A45)*LEN('General sheet'!G46)*MATCH('General sheet'!G46,Wind!$A$4:$A$11,0)),1),2^31-1)</f>
        <v>1027737499</v>
      </c>
      <c r="J45">
        <f t="shared" si="5"/>
        <v>0.47857756702163146</v>
      </c>
      <c r="K45">
        <f t="shared" si="4"/>
        <v>6</v>
      </c>
    </row>
    <row r="46" spans="1:11" x14ac:dyDescent="0.3">
      <c r="A46">
        <f>MOD(48271*A45*CEILING(SQRT(ROW(A46)*LEN('General sheet'!E47)*MATCH('General sheet'!E47,Temp!$A$4:$A$11,0)),1),2^31-1)</f>
        <v>717440657</v>
      </c>
      <c r="B46">
        <f t="shared" si="0"/>
        <v>0.33408434006110038</v>
      </c>
      <c r="C46">
        <f t="shared" si="1"/>
        <v>6</v>
      </c>
      <c r="E46">
        <f>MOD(48271*E45*CEILING(SQRT(ROW(A46)*LEN('General sheet'!F47)*MATCH('General sheet'!F47,Precip!$A$4:$A$11,0)),1),2^31-1)</f>
        <v>626359698</v>
      </c>
      <c r="F46">
        <f t="shared" si="2"/>
        <v>0.29167146342418693</v>
      </c>
      <c r="G46">
        <f t="shared" si="3"/>
        <v>5</v>
      </c>
      <c r="I46">
        <f>MOD(48271*I45*CEILING(SQRT(ROW(A46)*LEN('General sheet'!G47)*MATCH('General sheet'!G47,Wind!$A$4:$A$11,0)),1),2^31-1)</f>
        <v>436114930</v>
      </c>
      <c r="J46">
        <f t="shared" si="5"/>
        <v>0.20308183981249195</v>
      </c>
      <c r="K46">
        <f t="shared" si="4"/>
        <v>5</v>
      </c>
    </row>
    <row r="47" spans="1:11" x14ac:dyDescent="0.3">
      <c r="A47">
        <f>MOD(48271*A46*CEILING(SQRT(ROW(A47)*LEN('General sheet'!E48)*MATCH('General sheet'!E48,Temp!$A$4:$A$11,0)),1),2^31-1)</f>
        <v>1510930383</v>
      </c>
      <c r="B47">
        <f t="shared" si="0"/>
        <v>0.70358178750778633</v>
      </c>
      <c r="C47">
        <f t="shared" si="1"/>
        <v>8</v>
      </c>
      <c r="E47">
        <f>MOD(48271*E46*CEILING(SQRT(ROW(A47)*LEN('General sheet'!F48)*MATCH('General sheet'!F48,Precip!$A$4:$A$11,0)),1),2^31-1)</f>
        <v>233657195</v>
      </c>
      <c r="F47">
        <f t="shared" si="2"/>
        <v>0.10880511026308179</v>
      </c>
      <c r="G47">
        <f t="shared" si="3"/>
        <v>4</v>
      </c>
      <c r="I47">
        <f>MOD(48271*I46*CEILING(SQRT(ROW(A47)*LEN('General sheet'!G48)*MATCH('General sheet'!G48,Wind!$A$4:$A$11,0)),1),2^31-1)</f>
        <v>845124810</v>
      </c>
      <c r="J47">
        <f t="shared" si="5"/>
        <v>0.39354190714356579</v>
      </c>
      <c r="K47">
        <f t="shared" si="4"/>
        <v>6</v>
      </c>
    </row>
    <row r="48" spans="1:11" x14ac:dyDescent="0.3">
      <c r="A48">
        <f>MOD(48271*A47*CEILING(SQRT(ROW(A48)*LEN('General sheet'!E49)*MATCH('General sheet'!E49,Temp!$A$4:$A$11,0)),1),2^31-1)</f>
        <v>1995647463</v>
      </c>
      <c r="B48">
        <f t="shared" si="0"/>
        <v>0.92929576706574102</v>
      </c>
      <c r="C48">
        <f t="shared" si="1"/>
        <v>10</v>
      </c>
      <c r="E48">
        <f>MOD(48271*E47*CEILING(SQRT(ROW(A48)*LEN('General sheet'!F49)*MATCH('General sheet'!F49,Precip!$A$4:$A$11,0)),1),2^31-1)</f>
        <v>1574514248</v>
      </c>
      <c r="F48">
        <f t="shared" si="2"/>
        <v>0.73319033194947536</v>
      </c>
      <c r="G48">
        <f t="shared" si="3"/>
        <v>8</v>
      </c>
      <c r="I48">
        <f>MOD(48271*I47*CEILING(SQRT(ROW(A48)*LEN('General sheet'!G49)*MATCH('General sheet'!G49,Wind!$A$4:$A$11,0)),1),2^31-1)</f>
        <v>1876027647</v>
      </c>
      <c r="J48">
        <f t="shared" si="5"/>
        <v>0.87359344953372764</v>
      </c>
      <c r="K48">
        <f t="shared" si="4"/>
        <v>9</v>
      </c>
    </row>
    <row r="49" spans="1:11" x14ac:dyDescent="0.3">
      <c r="A49">
        <f>MOD(48271*A48*CEILING(SQRT(ROW(A49)*LEN('General sheet'!E50)*MATCH('General sheet'!E50,Temp!$A$4:$A$11,0)),1),2^31-1)</f>
        <v>556243498</v>
      </c>
      <c r="B49">
        <f t="shared" si="0"/>
        <v>0.25902106345585596</v>
      </c>
      <c r="C49">
        <f t="shared" si="1"/>
        <v>5</v>
      </c>
      <c r="E49">
        <f>MOD(48271*E48*CEILING(SQRT(ROW(A49)*LEN('General sheet'!F50)*MATCH('General sheet'!F50,Precip!$A$4:$A$11,0)),1),2^31-1)</f>
        <v>1201547721</v>
      </c>
      <c r="F49">
        <f t="shared" si="2"/>
        <v>0.55951425878308447</v>
      </c>
      <c r="G49">
        <f t="shared" si="3"/>
        <v>7</v>
      </c>
      <c r="I49">
        <f>MOD(48271*I48*CEILING(SQRT(ROW(A49)*LEN('General sheet'!G50)*MATCH('General sheet'!G50,Wind!$A$4:$A$11,0)),1),2^31-1)</f>
        <v>1578531615</v>
      </c>
      <c r="J49">
        <f t="shared" si="5"/>
        <v>0.73506106423915418</v>
      </c>
      <c r="K49">
        <f t="shared" si="4"/>
        <v>8</v>
      </c>
    </row>
    <row r="50" spans="1:11" x14ac:dyDescent="0.3">
      <c r="A50">
        <f>MOD(48271*A49*CEILING(SQRT(ROW(A50)*LEN('General sheet'!E51)*MATCH('General sheet'!E51,Temp!$A$4:$A$11,0)),1),2^31-1)</f>
        <v>432487566</v>
      </c>
      <c r="B50">
        <f t="shared" si="0"/>
        <v>0.20139271682193163</v>
      </c>
      <c r="C50">
        <f t="shared" si="1"/>
        <v>5</v>
      </c>
      <c r="E50">
        <f>MOD(48271*E49*CEILING(SQRT(ROW(A50)*LEN('General sheet'!F51)*MATCH('General sheet'!F51,Precip!$A$4:$A$11,0)),1),2^31-1)</f>
        <v>161828617</v>
      </c>
      <c r="F50">
        <f t="shared" si="2"/>
        <v>7.5357322150542083E-2</v>
      </c>
      <c r="G50">
        <f t="shared" si="3"/>
        <v>3</v>
      </c>
      <c r="I50">
        <f>MOD(48271*I49*CEILING(SQRT(ROW(A50)*LEN('General sheet'!G51)*MATCH('General sheet'!G51,Wind!$A$4:$A$11,0)),1),2^31-1)</f>
        <v>2079698260</v>
      </c>
      <c r="J50">
        <f t="shared" si="5"/>
        <v>0.96843496941422813</v>
      </c>
      <c r="K50">
        <f t="shared" si="4"/>
        <v>11</v>
      </c>
    </row>
    <row r="51" spans="1:11" x14ac:dyDescent="0.3">
      <c r="A51">
        <f>MOD(48271*A50*CEILING(SQRT(ROW(A51)*LEN('General sheet'!E52)*MATCH('General sheet'!E52,Temp!$A$4:$A$11,0)),1),2^31-1)</f>
        <v>2092035407</v>
      </c>
      <c r="B51">
        <f t="shared" si="0"/>
        <v>0.97417990117062814</v>
      </c>
      <c r="C51">
        <f t="shared" si="1"/>
        <v>11</v>
      </c>
      <c r="E51">
        <f>MOD(48271*E50*CEILING(SQRT(ROW(A51)*LEN('General sheet'!F52)*MATCH('General sheet'!F52,Precip!$A$4:$A$11,0)),1),2^31-1)</f>
        <v>1686431997</v>
      </c>
      <c r="F51">
        <f t="shared" si="2"/>
        <v>0.78530609504566806</v>
      </c>
      <c r="G51">
        <f t="shared" si="3"/>
        <v>8</v>
      </c>
      <c r="I51">
        <f>MOD(48271*I50*CEILING(SQRT(ROW(A51)*LEN('General sheet'!G52)*MATCH('General sheet'!G52,Wind!$A$4:$A$11,0)),1),2^31-1)</f>
        <v>2039185082</v>
      </c>
      <c r="J51">
        <f t="shared" si="5"/>
        <v>0.94956955078503558</v>
      </c>
      <c r="K51">
        <f t="shared" si="4"/>
        <v>10</v>
      </c>
    </row>
    <row r="52" spans="1:11" x14ac:dyDescent="0.3">
      <c r="A52">
        <f>MOD(48271*A51*CEILING(SQRT(ROW(A52)*LEN('General sheet'!E53)*MATCH('General sheet'!E53,Temp!$A$4:$A$11,0)),1),2^31-1)</f>
        <v>2079491450</v>
      </c>
      <c r="B52">
        <f t="shared" si="0"/>
        <v>0.96833866600335516</v>
      </c>
      <c r="C52">
        <f t="shared" si="1"/>
        <v>11</v>
      </c>
      <c r="E52">
        <f>MOD(48271*E51*CEILING(SQRT(ROW(A52)*LEN('General sheet'!F53)*MATCH('General sheet'!F53,Precip!$A$4:$A$11,0)),1),2^31-1)</f>
        <v>1954304669</v>
      </c>
      <c r="F52">
        <f t="shared" si="2"/>
        <v>0.91004402838183751</v>
      </c>
      <c r="G52">
        <f t="shared" si="3"/>
        <v>10</v>
      </c>
      <c r="I52">
        <f>MOD(48271*I51*CEILING(SQRT(ROW(A52)*LEN('General sheet'!G53)*MATCH('General sheet'!G53,Wind!$A$4:$A$11,0)),1),2^31-1)</f>
        <v>1166564061</v>
      </c>
      <c r="J52">
        <f t="shared" si="5"/>
        <v>0.54322372262516228</v>
      </c>
      <c r="K52">
        <f t="shared" si="4"/>
        <v>7</v>
      </c>
    </row>
    <row r="53" spans="1:11" x14ac:dyDescent="0.3">
      <c r="A53">
        <f>MOD(48271*A52*CEILING(SQRT(ROW(A53)*LEN('General sheet'!E54)*MATCH('General sheet'!E54,Temp!$A$4:$A$11,0)),1),2^31-1)</f>
        <v>1924772785</v>
      </c>
      <c r="B53">
        <f t="shared" si="0"/>
        <v>0.89629217325537103</v>
      </c>
      <c r="C53">
        <f t="shared" si="1"/>
        <v>9</v>
      </c>
      <c r="E53">
        <f>MOD(48271*E52*CEILING(SQRT(ROW(A53)*LEN('General sheet'!F54)*MATCH('General sheet'!F54,Precip!$A$4:$A$11,0)),1),2^31-1)</f>
        <v>757926148</v>
      </c>
      <c r="F53">
        <f t="shared" si="2"/>
        <v>0.35293686592622514</v>
      </c>
      <c r="G53">
        <f t="shared" si="3"/>
        <v>6</v>
      </c>
      <c r="I53">
        <f>MOD(48271*I52*CEILING(SQRT(ROW(A53)*LEN('General sheet'!G54)*MATCH('General sheet'!G54,Wind!$A$4:$A$11,0)),1),2^31-1)</f>
        <v>1728926687</v>
      </c>
      <c r="J53">
        <f t="shared" si="5"/>
        <v>0.80509422710402601</v>
      </c>
      <c r="K53">
        <f t="shared" si="4"/>
        <v>9</v>
      </c>
    </row>
    <row r="54" spans="1:11" x14ac:dyDescent="0.3">
      <c r="A54">
        <f>MOD(48271*A53*CEILING(SQRT(ROW(A54)*LEN('General sheet'!E55)*MATCH('General sheet'!E55,Temp!$A$4:$A$11,0)),1),2^31-1)</f>
        <v>564438461</v>
      </c>
      <c r="B54">
        <f t="shared" si="0"/>
        <v>0.26283714047765228</v>
      </c>
      <c r="C54">
        <f t="shared" si="1"/>
        <v>5</v>
      </c>
      <c r="E54">
        <f>MOD(48271*E53*CEILING(SQRT(ROW(A54)*LEN('General sheet'!F55)*MATCH('General sheet'!F55,Precip!$A$4:$A$11,0)),1),2^31-1)</f>
        <v>1989409236</v>
      </c>
      <c r="F54">
        <f t="shared" si="2"/>
        <v>0.92639086624905043</v>
      </c>
      <c r="G54">
        <f t="shared" si="3"/>
        <v>10</v>
      </c>
      <c r="I54">
        <f>MOD(48271*I53*CEILING(SQRT(ROW(A54)*LEN('General sheet'!G55)*MATCH('General sheet'!G55,Wind!$A$4:$A$11,0)),1),2^31-1)</f>
        <v>1168949683</v>
      </c>
      <c r="J54">
        <f t="shared" si="5"/>
        <v>0.5443346144372293</v>
      </c>
      <c r="K54">
        <f t="shared" si="4"/>
        <v>7</v>
      </c>
    </row>
    <row r="55" spans="1:11" x14ac:dyDescent="0.3">
      <c r="A55">
        <f>MOD(48271*A54*CEILING(SQRT(ROW(A55)*LEN('General sheet'!E56)*MATCH('General sheet'!E56,Temp!$A$4:$A$11,0)),1),2^31-1)</f>
        <v>2136041617</v>
      </c>
      <c r="B55">
        <f t="shared" si="0"/>
        <v>0.9946718895783051</v>
      </c>
      <c r="C55">
        <f t="shared" si="1"/>
        <v>12</v>
      </c>
      <c r="E55">
        <f>MOD(48271*E54*CEILING(SQRT(ROW(A55)*LEN('General sheet'!F56)*MATCH('General sheet'!F56,Precip!$A$4:$A$11,0)),1),2^31-1)</f>
        <v>683587291</v>
      </c>
      <c r="F55">
        <f t="shared" si="2"/>
        <v>0.31832013806249954</v>
      </c>
      <c r="G55">
        <f t="shared" si="3"/>
        <v>5</v>
      </c>
      <c r="I55">
        <f>MOD(48271*I54*CEILING(SQRT(ROW(A55)*LEN('General sheet'!G56)*MATCH('General sheet'!G56,Wind!$A$4:$A$11,0)),1),2^31-1)</f>
        <v>386113191</v>
      </c>
      <c r="J55">
        <f t="shared" si="5"/>
        <v>0.17979796565128395</v>
      </c>
      <c r="K55">
        <f t="shared" si="4"/>
        <v>4</v>
      </c>
    </row>
    <row r="56" spans="1:11" x14ac:dyDescent="0.3">
      <c r="A56">
        <f>MOD(48271*A55*CEILING(SQRT(ROW(A56)*LEN('General sheet'!E57)*MATCH('General sheet'!E57,Temp!$A$4:$A$11,0)),1),2^31-1)</f>
        <v>1361584947</v>
      </c>
      <c r="B56">
        <f t="shared" si="0"/>
        <v>0.63403739949410665</v>
      </c>
      <c r="C56">
        <f t="shared" si="1"/>
        <v>7</v>
      </c>
      <c r="E56">
        <f>MOD(48271*E55*CEILING(SQRT(ROW(A56)*LEN('General sheet'!F57)*MATCH('General sheet'!F57,Precip!$A$4:$A$11,0)),1),2^31-1)</f>
        <v>1214454893</v>
      </c>
      <c r="F56">
        <f t="shared" si="2"/>
        <v>0.56552462911490564</v>
      </c>
      <c r="G56">
        <f t="shared" si="3"/>
        <v>7</v>
      </c>
      <c r="I56">
        <f>MOD(48271*I55*CEILING(SQRT(ROW(A56)*LEN('General sheet'!G57)*MATCH('General sheet'!G57,Wind!$A$4:$A$11,0)),1),2^31-1)</f>
        <v>519686513</v>
      </c>
      <c r="J56">
        <f t="shared" si="5"/>
        <v>0.24199789075273923</v>
      </c>
      <c r="K56">
        <f t="shared" si="4"/>
        <v>5</v>
      </c>
    </row>
    <row r="57" spans="1:11" x14ac:dyDescent="0.3">
      <c r="A57">
        <f>MOD(48271*A56*CEILING(SQRT(ROW(A57)*LEN('General sheet'!E58)*MATCH('General sheet'!E58,Temp!$A$4:$A$11,0)),1),2^31-1)</f>
        <v>1451450483</v>
      </c>
      <c r="B57">
        <f t="shared" si="0"/>
        <v>0.67588430069195304</v>
      </c>
      <c r="C57">
        <f t="shared" si="1"/>
        <v>8</v>
      </c>
      <c r="E57">
        <f>MOD(48271*E56*CEILING(SQRT(ROW(A57)*LEN('General sheet'!F58)*MATCH('General sheet'!F58,Precip!$A$4:$A$11,0)),1),2^31-1)</f>
        <v>192964869</v>
      </c>
      <c r="F57">
        <f t="shared" si="2"/>
        <v>8.9856269345551854E-2</v>
      </c>
      <c r="G57">
        <f t="shared" si="3"/>
        <v>3</v>
      </c>
      <c r="I57">
        <f>MOD(48271*I56*CEILING(SQRT(ROW(A57)*LEN('General sheet'!G58)*MATCH('General sheet'!G58,Wind!$A$4:$A$11,0)),1),2^31-1)</f>
        <v>530454162</v>
      </c>
      <c r="J57">
        <f t="shared" si="5"/>
        <v>0.24701196804969197</v>
      </c>
      <c r="K57">
        <f t="shared" si="4"/>
        <v>5</v>
      </c>
    </row>
  </sheetData>
  <pageMargins left="0.7" right="0.7" top="0.75" bottom="0.75" header="0.3" footer="0.3"/>
  <pageSetup orientation="portrait" horizontalDpi="1200" verticalDpi="1200" r:id="rId1"/>
  <cellWatches>
    <cellWatch r="A2"/>
    <cellWatch r="A3"/>
    <cellWatch r="A4"/>
    <cellWatch r="A5"/>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General sheet</vt:lpstr>
      <vt:lpstr>Encounter chances</vt:lpstr>
      <vt:lpstr>Player Facing Projection</vt:lpstr>
      <vt:lpstr>Party Roles</vt:lpstr>
      <vt:lpstr>Workflow</vt:lpstr>
      <vt:lpstr>Temp</vt:lpstr>
      <vt:lpstr>Precip</vt:lpstr>
      <vt:lpstr>Wind</vt:lpstr>
      <vt:lpstr>Days</vt:lpstr>
      <vt:lpstr>BackEnd</vt:lpstr>
      <vt:lpstr>precipNames</vt:lpstr>
      <vt:lpstr>tempNames</vt:lpstr>
      <vt:lpstr>windNames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School PC</dc:creator>
  <cp:lastModifiedBy>School PC</cp:lastModifiedBy>
  <cp:lastPrinted>2020-03-13T11:37:47Z</cp:lastPrinted>
  <dcterms:created xsi:type="dcterms:W3CDTF">2020-02-28T02:36:51Z</dcterms:created>
  <dcterms:modified xsi:type="dcterms:W3CDTF">2021-04-27T22:27:09Z</dcterms:modified>
</cp:coreProperties>
</file>